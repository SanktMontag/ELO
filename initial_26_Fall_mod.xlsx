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esktop\ELO-main(2)\ELO-main\"/>
    </mc:Choice>
  </mc:AlternateContent>
  <xr:revisionPtr revIDLastSave="0" documentId="13_ncr:1_{B74AE2A0-5280-45FE-9759-9187B1540706}" xr6:coauthVersionLast="47" xr6:coauthVersionMax="47" xr10:uidLastSave="{00000000-0000-0000-0000-000000000000}"/>
  <bookViews>
    <workbookView xWindow="28455" yWindow="0" windowWidth="24870" windowHeight="20460" xr2:uid="{FB22F9A6-9212-4FA4-9C6C-9674B77F5971}"/>
  </bookViews>
  <sheets>
    <sheet name="initial_26_Summer" sheetId="1" r:id="rId1"/>
  </sheets>
  <definedNames>
    <definedName name="_xlnm._FilterDatabase" localSheetId="0" hidden="1">initial_26_Summer!$A$1:$F$163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" l="1"/>
  <c r="G111" i="1"/>
  <c r="G64" i="1"/>
  <c r="G71" i="1"/>
  <c r="G75" i="1"/>
  <c r="G77" i="1"/>
  <c r="H2" i="1" a="1"/>
  <c r="I2" i="1" l="1"/>
  <c r="I16" i="1"/>
  <c r="I23" i="1"/>
  <c r="I21" i="1"/>
  <c r="E151" i="1" s="1"/>
  <c r="F151" i="1" s="1"/>
  <c r="I19" i="1"/>
  <c r="E127" i="1" s="1"/>
  <c r="F127" i="1" s="1"/>
  <c r="I17" i="1"/>
  <c r="I14" i="1"/>
  <c r="E90" i="1" s="1"/>
  <c r="F90" i="1" s="1"/>
  <c r="I12" i="1"/>
  <c r="I10" i="1"/>
  <c r="I8" i="1"/>
  <c r="E51" i="1" s="1"/>
  <c r="F51" i="1" s="1"/>
  <c r="I6" i="1"/>
  <c r="I3" i="1"/>
  <c r="I24" i="1"/>
  <c r="I22" i="1"/>
  <c r="E148" i="1" s="1"/>
  <c r="F148" i="1" s="1"/>
  <c r="I20" i="1"/>
  <c r="I18" i="1"/>
  <c r="I15" i="1"/>
  <c r="E98" i="1" s="1"/>
  <c r="F98" i="1" s="1"/>
  <c r="I13" i="1"/>
  <c r="E82" i="1" s="1"/>
  <c r="F82" i="1" s="1"/>
  <c r="I11" i="1"/>
  <c r="I9" i="1"/>
  <c r="I7" i="1"/>
  <c r="E42" i="1" s="1"/>
  <c r="F42" i="1" s="1"/>
  <c r="I5" i="1"/>
  <c r="I4" i="1"/>
  <c r="E18" i="1" s="1"/>
  <c r="F18" i="1" s="1"/>
  <c r="E149" i="1" l="1"/>
  <c r="F149" i="1" s="1"/>
  <c r="E150" i="1"/>
  <c r="F150" i="1" s="1"/>
  <c r="E105" i="1"/>
  <c r="F105" i="1" s="1"/>
  <c r="E106" i="1"/>
  <c r="F106" i="1" s="1"/>
  <c r="E96" i="1"/>
  <c r="F96" i="1" s="1"/>
  <c r="E97" i="1"/>
  <c r="F97" i="1" s="1"/>
  <c r="E114" i="1"/>
  <c r="F114" i="1" s="1"/>
  <c r="E113" i="1"/>
  <c r="F113" i="1" s="1"/>
  <c r="E36" i="1"/>
  <c r="F36" i="1" s="1"/>
  <c r="E37" i="1"/>
  <c r="F37" i="1" s="1"/>
  <c r="E156" i="1"/>
  <c r="F156" i="1" s="1"/>
  <c r="E29" i="1"/>
  <c r="F29" i="1" s="1"/>
  <c r="E62" i="1"/>
  <c r="F62" i="1" s="1"/>
  <c r="E27" i="1"/>
  <c r="F27" i="1" s="1"/>
  <c r="E28" i="1"/>
  <c r="F28" i="1" s="1"/>
  <c r="E163" i="1"/>
  <c r="F163" i="1" s="1"/>
  <c r="E2" i="1"/>
  <c r="F2" i="1" s="1"/>
  <c r="E6" i="1"/>
  <c r="F6" i="1" s="1"/>
  <c r="E7" i="1"/>
  <c r="F7" i="1" s="1"/>
  <c r="E101" i="1"/>
  <c r="F101" i="1" s="1"/>
  <c r="E5" i="1"/>
  <c r="F5" i="1" s="1"/>
  <c r="E131" i="1"/>
  <c r="F131" i="1" s="1"/>
  <c r="E60" i="1"/>
  <c r="F60" i="1" s="1"/>
  <c r="E24" i="1"/>
  <c r="F24" i="1" s="1"/>
  <c r="E57" i="1"/>
  <c r="F57" i="1" s="1"/>
  <c r="E133" i="1"/>
  <c r="F133" i="1" s="1"/>
  <c r="E4" i="1"/>
  <c r="F4" i="1" s="1"/>
  <c r="E128" i="1"/>
  <c r="F128" i="1" s="1"/>
  <c r="E121" i="1"/>
  <c r="F121" i="1" s="1"/>
  <c r="E45" i="1"/>
  <c r="F45" i="1" s="1"/>
  <c r="E50" i="1"/>
  <c r="F50" i="1" s="1"/>
  <c r="E71" i="1"/>
  <c r="F71" i="1" s="1"/>
  <c r="E92" i="1"/>
  <c r="F92" i="1" s="1"/>
  <c r="E95" i="1"/>
  <c r="F95" i="1" s="1"/>
  <c r="E41" i="1"/>
  <c r="F41" i="1" s="1"/>
  <c r="E157" i="1"/>
  <c r="F157" i="1" s="1"/>
  <c r="E22" i="1"/>
  <c r="F22" i="1" s="1"/>
  <c r="E49" i="1"/>
  <c r="F49" i="1" s="1"/>
  <c r="E68" i="1"/>
  <c r="F68" i="1" s="1"/>
  <c r="E67" i="1"/>
  <c r="F67" i="1" s="1"/>
  <c r="E80" i="1"/>
  <c r="F80" i="1" s="1"/>
  <c r="E59" i="1"/>
  <c r="F59" i="1" s="1"/>
  <c r="E39" i="1"/>
  <c r="F39" i="1" s="1"/>
  <c r="E124" i="1"/>
  <c r="F124" i="1" s="1"/>
  <c r="E84" i="1"/>
  <c r="F84" i="1" s="1"/>
  <c r="E125" i="1"/>
  <c r="F125" i="1" s="1"/>
  <c r="E20" i="1"/>
  <c r="F20" i="1" s="1"/>
  <c r="E17" i="1"/>
  <c r="F17" i="1" s="1"/>
  <c r="E9" i="1"/>
  <c r="F9" i="1" s="1"/>
  <c r="E64" i="1"/>
  <c r="F64" i="1" s="1"/>
  <c r="E99" i="1"/>
  <c r="F99" i="1" s="1"/>
  <c r="E73" i="1"/>
  <c r="F73" i="1" s="1"/>
  <c r="E145" i="1"/>
  <c r="F145" i="1" s="1"/>
  <c r="E74" i="1"/>
  <c r="F74" i="1" s="1"/>
  <c r="E38" i="1"/>
  <c r="F38" i="1" s="1"/>
  <c r="E48" i="1"/>
  <c r="F48" i="1" s="1"/>
  <c r="E52" i="1"/>
  <c r="F52" i="1" s="1"/>
  <c r="E112" i="1"/>
  <c r="F112" i="1" s="1"/>
  <c r="E147" i="1"/>
  <c r="F147" i="1" s="1"/>
  <c r="E3" i="1"/>
  <c r="F3" i="1" s="1"/>
  <c r="E66" i="1"/>
  <c r="F66" i="1" s="1"/>
  <c r="E34" i="1"/>
  <c r="F34" i="1" s="1"/>
  <c r="E30" i="1"/>
  <c r="F30" i="1" s="1"/>
  <c r="E56" i="1"/>
  <c r="F56" i="1" s="1"/>
  <c r="E81" i="1"/>
  <c r="F81" i="1" s="1"/>
  <c r="E53" i="1"/>
  <c r="F53" i="1" s="1"/>
  <c r="E10" i="1"/>
  <c r="F10" i="1" s="1"/>
  <c r="E138" i="1"/>
  <c r="F138" i="1" s="1"/>
  <c r="E63" i="1"/>
  <c r="F63" i="1" s="1"/>
  <c r="E85" i="1"/>
  <c r="F85" i="1" s="1"/>
  <c r="E32" i="1"/>
  <c r="F32" i="1" s="1"/>
  <c r="E58" i="1"/>
  <c r="F58" i="1" s="1"/>
  <c r="E135" i="1"/>
  <c r="F135" i="1" s="1"/>
  <c r="E78" i="1"/>
  <c r="F78" i="1" s="1"/>
  <c r="E136" i="1"/>
  <c r="F136" i="1" s="1"/>
  <c r="E83" i="1"/>
  <c r="F83" i="1" s="1"/>
  <c r="E162" i="1"/>
  <c r="F162" i="1" s="1"/>
  <c r="E23" i="1"/>
  <c r="F23" i="1" s="1"/>
  <c r="E109" i="1"/>
  <c r="F109" i="1" s="1"/>
  <c r="E47" i="1"/>
  <c r="F47" i="1" s="1"/>
  <c r="E152" i="1"/>
  <c r="F152" i="1" s="1"/>
  <c r="E139" i="1"/>
  <c r="F139" i="1" s="1"/>
  <c r="E43" i="1"/>
  <c r="F43" i="1" s="1"/>
  <c r="E161" i="1"/>
  <c r="F161" i="1" s="1"/>
  <c r="E87" i="1"/>
  <c r="F87" i="1" s="1"/>
  <c r="E120" i="1"/>
  <c r="F120" i="1" s="1"/>
  <c r="E132" i="1"/>
  <c r="F132" i="1" s="1"/>
  <c r="E94" i="1"/>
  <c r="F94" i="1" s="1"/>
  <c r="E14" i="1"/>
  <c r="F14" i="1" s="1"/>
  <c r="E100" i="1"/>
  <c r="F100" i="1" s="1"/>
  <c r="E72" i="1"/>
  <c r="F72" i="1" s="1"/>
  <c r="E16" i="1"/>
  <c r="F16" i="1" s="1"/>
  <c r="E21" i="1"/>
  <c r="F21" i="1" s="1"/>
  <c r="E116" i="1"/>
  <c r="F116" i="1" s="1"/>
  <c r="E19" i="1"/>
  <c r="F19" i="1" s="1"/>
  <c r="E122" i="1"/>
  <c r="F122" i="1" s="1"/>
  <c r="E44" i="1"/>
  <c r="F44" i="1" s="1"/>
  <c r="E77" i="1"/>
  <c r="F77" i="1" s="1"/>
  <c r="E55" i="1"/>
  <c r="F55" i="1" s="1"/>
  <c r="E65" i="1"/>
  <c r="F65" i="1" s="1"/>
  <c r="E117" i="1"/>
  <c r="F117" i="1" s="1"/>
  <c r="E8" i="1"/>
  <c r="F8" i="1" s="1"/>
  <c r="E46" i="1"/>
  <c r="F46" i="1" s="1"/>
  <c r="E103" i="1"/>
  <c r="F103" i="1" s="1"/>
  <c r="E108" i="1"/>
  <c r="F108" i="1" s="1"/>
  <c r="E13" i="1"/>
  <c r="F13" i="1" s="1"/>
  <c r="E75" i="1"/>
  <c r="F75" i="1" s="1"/>
  <c r="E118" i="1"/>
  <c r="F118" i="1" s="1"/>
  <c r="E89" i="1"/>
  <c r="F89" i="1" s="1"/>
  <c r="E140" i="1"/>
  <c r="F140" i="1" s="1"/>
  <c r="E12" i="1"/>
  <c r="F12" i="1" s="1"/>
  <c r="E86" i="1"/>
  <c r="F86" i="1" s="1"/>
  <c r="E129" i="1"/>
  <c r="F129" i="1" s="1"/>
  <c r="E70" i="1"/>
  <c r="F70" i="1" s="1"/>
  <c r="E25" i="1"/>
  <c r="F25" i="1" s="1"/>
  <c r="E160" i="1"/>
  <c r="F160" i="1" s="1"/>
  <c r="E142" i="1"/>
  <c r="F142" i="1" s="1"/>
  <c r="E88" i="1"/>
  <c r="F88" i="1" s="1"/>
  <c r="E141" i="1"/>
  <c r="F141" i="1" s="1"/>
  <c r="E115" i="1"/>
  <c r="F115" i="1" s="1"/>
  <c r="E155" i="1"/>
  <c r="F155" i="1" s="1"/>
  <c r="E91" i="1"/>
  <c r="F91" i="1" s="1"/>
  <c r="E104" i="1"/>
  <c r="F104" i="1" s="1"/>
  <c r="E102" i="1"/>
  <c r="F102" i="1" s="1"/>
  <c r="E154" i="1"/>
  <c r="F154" i="1" s="1"/>
  <c r="E79" i="1"/>
  <c r="F79" i="1" s="1"/>
  <c r="E33" i="1"/>
  <c r="F33" i="1" s="1"/>
  <c r="E107" i="1"/>
  <c r="F107" i="1" s="1"/>
  <c r="E126" i="1"/>
  <c r="F126" i="1" s="1"/>
  <c r="E111" i="1"/>
  <c r="F111" i="1" s="1"/>
  <c r="E40" i="1"/>
  <c r="F40" i="1" s="1"/>
  <c r="E159" i="1"/>
  <c r="F159" i="1" s="1"/>
  <c r="E134" i="1"/>
  <c r="F134" i="1" s="1"/>
  <c r="E110" i="1"/>
  <c r="F110" i="1" s="1"/>
  <c r="E35" i="1"/>
  <c r="F35" i="1" s="1"/>
  <c r="E26" i="1"/>
  <c r="F26" i="1" s="1"/>
  <c r="E31" i="1"/>
  <c r="F31" i="1" s="1"/>
  <c r="E69" i="1"/>
  <c r="F69" i="1" s="1"/>
  <c r="E144" i="1"/>
  <c r="F144" i="1" s="1"/>
  <c r="E54" i="1"/>
  <c r="F54" i="1" s="1"/>
  <c r="E143" i="1"/>
  <c r="F143" i="1" s="1"/>
  <c r="E158" i="1"/>
  <c r="F158" i="1" s="1"/>
  <c r="E76" i="1"/>
  <c r="F76" i="1" s="1"/>
  <c r="E61" i="1"/>
  <c r="F61" i="1" s="1"/>
  <c r="E119" i="1"/>
  <c r="F119" i="1" s="1"/>
  <c r="E146" i="1"/>
  <c r="F146" i="1" s="1"/>
  <c r="E123" i="1"/>
  <c r="F123" i="1" s="1"/>
  <c r="E137" i="1"/>
  <c r="F137" i="1" s="1"/>
  <c r="E93" i="1"/>
  <c r="F93" i="1" s="1"/>
  <c r="E11" i="1"/>
  <c r="F11" i="1" s="1"/>
  <c r="E130" i="1"/>
  <c r="F130" i="1" s="1"/>
  <c r="E153" i="1"/>
  <c r="F153" i="1" s="1"/>
  <c r="E15" i="1"/>
  <c r="F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<sst xmlns="http://schemas.openxmlformats.org/spreadsheetml/2006/main" count="313" uniqueCount="187">
  <si>
    <t>Ranking</t>
  </si>
  <si>
    <t>Team</t>
  </si>
  <si>
    <t>Div</t>
  </si>
  <si>
    <t>ELO</t>
  </si>
  <si>
    <t>Alpuckas</t>
  </si>
  <si>
    <t>5D</t>
  </si>
  <si>
    <t>Amigos</t>
  </si>
  <si>
    <t>5A</t>
  </si>
  <si>
    <t>ALTP</t>
  </si>
  <si>
    <t>Banana Guardians</t>
  </si>
  <si>
    <t>10A</t>
  </si>
  <si>
    <t>7B</t>
  </si>
  <si>
    <t>3A</t>
  </si>
  <si>
    <t>Barrel Aged Brewzers</t>
  </si>
  <si>
    <t>6D</t>
  </si>
  <si>
    <t>Beer Dragons</t>
  </si>
  <si>
    <t>9B</t>
  </si>
  <si>
    <t>Birrds</t>
  </si>
  <si>
    <t>Black Katz</t>
  </si>
  <si>
    <t>Blackbirds</t>
  </si>
  <si>
    <t>9A</t>
  </si>
  <si>
    <t>Blackouts</t>
  </si>
  <si>
    <t>8A</t>
  </si>
  <si>
    <t>Blades</t>
  </si>
  <si>
    <t>BLU Bombers</t>
  </si>
  <si>
    <t>3B</t>
  </si>
  <si>
    <t>Boozin Cougs</t>
  </si>
  <si>
    <t>Brewzers OGB</t>
  </si>
  <si>
    <t>6A</t>
  </si>
  <si>
    <t>BSOD</t>
  </si>
  <si>
    <t>4C</t>
  </si>
  <si>
    <t>Buck Wild</t>
  </si>
  <si>
    <t>4B</t>
  </si>
  <si>
    <t>5C</t>
  </si>
  <si>
    <t>7A</t>
  </si>
  <si>
    <t>Chiefs</t>
  </si>
  <si>
    <t>Chinooks</t>
  </si>
  <si>
    <t>4A</t>
  </si>
  <si>
    <t>Chucklepucks</t>
  </si>
  <si>
    <t>Coconut Corgis</t>
  </si>
  <si>
    <t>6C</t>
  </si>
  <si>
    <t>Dead Rabbits</t>
  </si>
  <si>
    <t>DevilFish</t>
  </si>
  <si>
    <t>Dirty Couch Hockey Club</t>
  </si>
  <si>
    <t>6B</t>
  </si>
  <si>
    <t>Doom Clouds/Golden Mules</t>
  </si>
  <si>
    <t>Dumpster Fire</t>
  </si>
  <si>
    <t>Eagles</t>
  </si>
  <si>
    <t>Edible Arrangements</t>
  </si>
  <si>
    <t>ESB</t>
  </si>
  <si>
    <t>Falcons</t>
  </si>
  <si>
    <t>Fighting Clams</t>
  </si>
  <si>
    <t>Fighting Narwhals</t>
  </si>
  <si>
    <t>Five Hole Fiends</t>
  </si>
  <si>
    <t>Fluffy Bunnies</t>
  </si>
  <si>
    <t>Flying Monkeys</t>
  </si>
  <si>
    <t>Glow Sticks</t>
  </si>
  <si>
    <t>Goal Diggers</t>
  </si>
  <si>
    <t>Greasy Weasels</t>
  </si>
  <si>
    <t>Greenhorns</t>
  </si>
  <si>
    <t>Gremlins Hockey</t>
  </si>
  <si>
    <t>Hackers</t>
  </si>
  <si>
    <t>Hampton West Hockey Club</t>
  </si>
  <si>
    <t>Highlanders</t>
  </si>
  <si>
    <t>Honey Badgers</t>
  </si>
  <si>
    <t>Hooligans</t>
  </si>
  <si>
    <t>Hungry Hatchlings</t>
  </si>
  <si>
    <t>8B</t>
  </si>
  <si>
    <t>Ice Breakers</t>
  </si>
  <si>
    <t>Iced Awesome</t>
  </si>
  <si>
    <t>Icemen</t>
  </si>
  <si>
    <t>Ice-O-Topes</t>
  </si>
  <si>
    <t>Jokres</t>
  </si>
  <si>
    <t>Khaos</t>
  </si>
  <si>
    <t>Kraken Up</t>
  </si>
  <si>
    <t>LKI</t>
  </si>
  <si>
    <t>LLUA</t>
  </si>
  <si>
    <t>Los Tigres</t>
  </si>
  <si>
    <t>Lagooners</t>
  </si>
  <si>
    <t>Maple Bars</t>
  </si>
  <si>
    <t>Mavericks</t>
  </si>
  <si>
    <t>Midnight Twist</t>
  </si>
  <si>
    <t>Mighty Mallards</t>
  </si>
  <si>
    <t>Mighty Moose</t>
  </si>
  <si>
    <t>Minner''s Minions</t>
  </si>
  <si>
    <t>MMHC</t>
  </si>
  <si>
    <t>Monarchs 5</t>
  </si>
  <si>
    <t>Monarchs 6</t>
  </si>
  <si>
    <t>Moose Knuckle</t>
  </si>
  <si>
    <t>Mudflaps</t>
  </si>
  <si>
    <t>Night Owls</t>
  </si>
  <si>
    <t>Nordekes</t>
  </si>
  <si>
    <t>Northwest Crabs</t>
  </si>
  <si>
    <t>Not Sure 5</t>
  </si>
  <si>
    <t>Not Sure 6</t>
  </si>
  <si>
    <t>NW Stars</t>
  </si>
  <si>
    <t>Offspring</t>
  </si>
  <si>
    <t>5B</t>
  </si>
  <si>
    <t>Orange Crush</t>
  </si>
  <si>
    <t>Pheasants</t>
  </si>
  <si>
    <t>Piranhas</t>
  </si>
  <si>
    <t>Pythons</t>
  </si>
  <si>
    <t>Pond Pigeons</t>
  </si>
  <si>
    <t>Puckbuddies</t>
  </si>
  <si>
    <t>10B</t>
  </si>
  <si>
    <t>Purple Puck Eaters</t>
  </si>
  <si>
    <t>Purple Reign</t>
  </si>
  <si>
    <t>PussyCats</t>
  </si>
  <si>
    <t>Quacken</t>
  </si>
  <si>
    <t>Raiders</t>
  </si>
  <si>
    <t>Rainier Reindeer HC-6</t>
  </si>
  <si>
    <t>Rainier Reindeers HC-9</t>
  </si>
  <si>
    <t>Real Bacon</t>
  </si>
  <si>
    <t>Reapers</t>
  </si>
  <si>
    <t>Red Dog</t>
  </si>
  <si>
    <t>Red Zeppelin</t>
  </si>
  <si>
    <t>Renegades</t>
  </si>
  <si>
    <t>Rhinos</t>
  </si>
  <si>
    <t>Roughnecks Mobile Infantry</t>
  </si>
  <si>
    <t>Sabercats</t>
  </si>
  <si>
    <t>Sasquatch</t>
  </si>
  <si>
    <t>Screaming Eagles</t>
  </si>
  <si>
    <t>Schilling Cider</t>
  </si>
  <si>
    <t>SEA Cucumbers</t>
  </si>
  <si>
    <t>Seagulls</t>
  </si>
  <si>
    <t>Seal Team Sticks</t>
  </si>
  <si>
    <t>Seattle Seals</t>
  </si>
  <si>
    <t>Seattle Dogs</t>
  </si>
  <si>
    <t>Seattle Freeze</t>
  </si>
  <si>
    <t>Seattle Slapshots</t>
  </si>
  <si>
    <t>Seattle Supernova</t>
  </si>
  <si>
    <t>Seattle Warriors</t>
  </si>
  <si>
    <t>Shockers</t>
  </si>
  <si>
    <t>Skateful Dead</t>
  </si>
  <si>
    <t>Skeletons</t>
  </si>
  <si>
    <t>Sockeyes</t>
  </si>
  <si>
    <t>Spicy Kittens HC-9</t>
  </si>
  <si>
    <t>Spicy Kittens HC-8</t>
  </si>
  <si>
    <t>Spittin'' Llamas</t>
  </si>
  <si>
    <t>Maelstrom</t>
  </si>
  <si>
    <t>Mad Hat Tricks</t>
  </si>
  <si>
    <t>The Axolotls</t>
  </si>
  <si>
    <t>Squids</t>
  </si>
  <si>
    <t>Steelhead</t>
  </si>
  <si>
    <t>Stingers</t>
  </si>
  <si>
    <t>The Brigade</t>
  </si>
  <si>
    <t>The Herd</t>
  </si>
  <si>
    <t>The Mighty Geoducks</t>
  </si>
  <si>
    <t>Toe Dragons</t>
  </si>
  <si>
    <t>Top Cheddar</t>
  </si>
  <si>
    <t>Trash Pandas 7/Coyotes</t>
  </si>
  <si>
    <t>TP6/Fossils</t>
  </si>
  <si>
    <t>Trash Pandas Garbage Legacy</t>
  </si>
  <si>
    <t>Tropical Punchers</t>
  </si>
  <si>
    <t>WKUTP-5</t>
  </si>
  <si>
    <t>Wolves</t>
  </si>
  <si>
    <t>Wranglers</t>
  </si>
  <si>
    <t>Yacht Flippers</t>
  </si>
  <si>
    <t>Yetis</t>
  </si>
  <si>
    <t>Rip-Its</t>
  </si>
  <si>
    <t>Galactic Penguins</t>
  </si>
  <si>
    <t>Redrum</t>
  </si>
  <si>
    <t>Mustangs</t>
  </si>
  <si>
    <t>Banana Blades</t>
  </si>
  <si>
    <t>Thursday Cryptids</t>
  </si>
  <si>
    <t>Division 10B Purple</t>
  </si>
  <si>
    <t>Division 10B Red</t>
  </si>
  <si>
    <t>Puckleberries</t>
  </si>
  <si>
    <t>Pull Tab Bandits</t>
  </si>
  <si>
    <t>Bombers</t>
  </si>
  <si>
    <t>Puget Sound Pigeons</t>
  </si>
  <si>
    <t>Breakers</t>
  </si>
  <si>
    <t>Rainiers</t>
  </si>
  <si>
    <t>Scrooge McPuck</t>
  </si>
  <si>
    <t>Cascadians HC</t>
  </si>
  <si>
    <t>Mad Dawgs</t>
  </si>
  <si>
    <t xml:space="preserve">Flying Monkeys </t>
  </si>
  <si>
    <t>Seals</t>
  </si>
  <si>
    <t>Dumb Pucks</t>
  </si>
  <si>
    <t>Trash Pandas</t>
  </si>
  <si>
    <t>Cherry Pickers</t>
  </si>
  <si>
    <t>Lumberjacks</t>
  </si>
  <si>
    <t>Bullets</t>
  </si>
  <si>
    <t>Fossils</t>
  </si>
  <si>
    <t>Bandits</t>
  </si>
  <si>
    <t>Mighty Boosh</t>
  </si>
  <si>
    <t>Orcas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</si>
</sst>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5EE6-5B9C-4F74-9C70-F47CE547CAED}">
  <dimension ref="A1:K163"/>
  <sheetViews>
    <sheetView tabSelected="1" workbookViewId="0">
      <selection activeCell="J33" sqref="J33"/>
    </sheetView>
  </sheetViews>
  <sheetFormatPr defaultRowHeight="15" x14ac:dyDescent="0.25"/>
  <cols>
    <col min="1" max="1" width="8.140625" bestFit="1" customWidth="1"/>
    <col min="2" max="2" width="27.85546875" bestFit="1" customWidth="1"/>
    <col min="3" max="3" width="9.140625" style="1"/>
    <col min="10" max="10" width="27.85546875" bestFit="1" customWidth="1"/>
    <col min="11" max="11" width="9.5703125" bestFit="1" customWidth="1"/>
    <col min="12" max="12" width="7.85546875" bestFit="1" customWidth="1"/>
    <col min="13" max="13" width="3.28515625" bestFit="1" customWidth="1"/>
    <col min="14" max="14" width="5" bestFit="1" customWidth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</row>
    <row r="2" spans="1:11" x14ac:dyDescent="0.25">
      <c r="A2">
        <v>2</v>
      </c>
      <c r="B2" s="2" t="s">
        <v>8</v>
      </c>
      <c r="C2" s="1">
        <v>1</v>
      </c>
      <c r="D2">
        <v>4566</v>
      </c>
      <c r="E2">
        <f>ROUND(D2+$K$2*(_xlfn.XLOOKUP(C2,H:H,I:I)-D2),0)</f>
        <v>4481</v>
      </c>
      <c r="F2">
        <f>E2-D2</f>
        <v>-85</v>
      </c>
      <c r="H2" cm="1">
        <f t="array" ref="H2:H24">_xlfn.UNIQUE(C2:C163)</f>
        <v>1</v>
      </c>
      <c r="I2">
        <f>ROUND(AVERAGEIF(C:C,H2,D:D),0)</f>
        <v>4309</v>
      </c>
      <c r="K2">
        <v>0.33</v>
      </c>
    </row>
    <row r="3" spans="1:11" x14ac:dyDescent="0.25">
      <c r="A3">
        <v>9</v>
      </c>
      <c r="B3" s="2" t="s">
        <v>49</v>
      </c>
      <c r="C3" s="1">
        <v>1</v>
      </c>
      <c r="D3">
        <v>4134</v>
      </c>
      <c r="E3">
        <f>ROUND(D3+$K$2*(_xlfn.XLOOKUP(C3,H:H,I:I)-D3),0)</f>
        <v>4192</v>
      </c>
      <c r="F3">
        <f>E3-D3</f>
        <v>58</v>
      </c>
      <c r="H3">
        <v>2</v>
      </c>
      <c r="I3">
        <f>ROUND(AVERAGEIF(C:C,H3,D:D),0)</f>
        <v>4129</v>
      </c>
    </row>
    <row r="4" spans="1:11" x14ac:dyDescent="0.25">
      <c r="A4">
        <v>4</v>
      </c>
      <c r="B4" s="2" t="s">
        <v>50</v>
      </c>
      <c r="C4" s="1">
        <v>1</v>
      </c>
      <c r="D4">
        <v>4359</v>
      </c>
      <c r="E4">
        <f>ROUND(D4+$K$2*(_xlfn.XLOOKUP(C4,H:H,I:I)-D4),0)</f>
        <v>4343</v>
      </c>
      <c r="F4">
        <f>E4-D4</f>
        <v>-16</v>
      </c>
      <c r="H4" t="str">
        <v>10A</v>
      </c>
      <c r="I4">
        <f>ROUND(AVERAGEIF(C:C,H4,D:D),0)</f>
        <v>853</v>
      </c>
    </row>
    <row r="5" spans="1:11" x14ac:dyDescent="0.25">
      <c r="A5">
        <v>1</v>
      </c>
      <c r="B5" s="3" t="s">
        <v>84</v>
      </c>
      <c r="C5" s="1">
        <v>1</v>
      </c>
      <c r="D5">
        <v>4624</v>
      </c>
      <c r="E5">
        <f>ROUND(D5+$K$2*(_xlfn.XLOOKUP(C5,H:H,I:I)-D5),0)</f>
        <v>4520</v>
      </c>
      <c r="F5">
        <f>E5-D5</f>
        <v>-104</v>
      </c>
      <c r="H5" t="str">
        <v>10B</v>
      </c>
      <c r="I5">
        <f>ROUND(AVERAGEIF(C:C,H5,D:D),0)</f>
        <v>990</v>
      </c>
    </row>
    <row r="6" spans="1:11" x14ac:dyDescent="0.25">
      <c r="B6" s="4" t="s">
        <v>162</v>
      </c>
      <c r="C6" s="1">
        <v>1</v>
      </c>
      <c r="D6">
        <v>4063</v>
      </c>
      <c r="E6">
        <f>ROUND(D6+$K$2*(_xlfn.XLOOKUP(C6,H:H,I:I)-D6),0)</f>
        <v>4144</v>
      </c>
      <c r="F6">
        <f>E6-D6</f>
        <v>81</v>
      </c>
      <c r="H6" t="str">
        <v>3A</v>
      </c>
      <c r="I6">
        <f>ROUND(AVERAGEIF(C:C,H6,D:D),0)</f>
        <v>3924</v>
      </c>
    </row>
    <row r="7" spans="1:11" x14ac:dyDescent="0.25">
      <c r="A7">
        <v>5</v>
      </c>
      <c r="B7" s="2" t="s">
        <v>95</v>
      </c>
      <c r="C7" s="1">
        <v>1</v>
      </c>
      <c r="D7">
        <v>4350</v>
      </c>
      <c r="E7">
        <f>ROUND(D7+$K$2*(_xlfn.XLOOKUP(C7,H:H,I:I)-D7),0)</f>
        <v>4336</v>
      </c>
      <c r="F7">
        <f>E7-D7</f>
        <v>-14</v>
      </c>
      <c r="H7" t="str">
        <v>3B</v>
      </c>
      <c r="I7">
        <f>ROUND(AVERAGEIF(C:C,H7,D:D),0)</f>
        <v>3684</v>
      </c>
    </row>
    <row r="8" spans="1:11" x14ac:dyDescent="0.25">
      <c r="A8">
        <v>12</v>
      </c>
      <c r="B8" s="2" t="s">
        <v>130</v>
      </c>
      <c r="C8" s="1">
        <v>1</v>
      </c>
      <c r="D8">
        <v>4070</v>
      </c>
      <c r="E8">
        <f>ROUND(D8+$K$2*(_xlfn.XLOOKUP(C8,H:H,I:I)-D8),0)</f>
        <v>4149</v>
      </c>
      <c r="F8">
        <f>E8-D8</f>
        <v>79</v>
      </c>
      <c r="H8" t="str">
        <v>4A</v>
      </c>
      <c r="I8">
        <f>ROUND(AVERAGEIF(C:C,H8,D:D),0)</f>
        <v>3465</v>
      </c>
    </row>
    <row r="9" spans="1:11" x14ac:dyDescent="0.25">
      <c r="A9">
        <v>7</v>
      </c>
      <c r="B9" s="2" t="s">
        <v>35</v>
      </c>
      <c r="C9" s="1">
        <v>2</v>
      </c>
      <c r="D9">
        <v>4188</v>
      </c>
      <c r="E9">
        <f>ROUND(D9+$K$2*(_xlfn.XLOOKUP(C9,H:H,I:I)-D9),0)</f>
        <v>4169</v>
      </c>
      <c r="F9">
        <f>E9-D9</f>
        <v>-19</v>
      </c>
      <c r="H9" t="str">
        <v>4B</v>
      </c>
      <c r="I9">
        <f>ROUND(AVERAGEIF(C:C,H9,D:D),0)</f>
        <v>3324</v>
      </c>
    </row>
    <row r="10" spans="1:11" x14ac:dyDescent="0.25">
      <c r="A10">
        <v>15</v>
      </c>
      <c r="B10" s="2" t="s">
        <v>52</v>
      </c>
      <c r="C10" s="1">
        <v>2</v>
      </c>
      <c r="D10">
        <v>3972</v>
      </c>
      <c r="E10">
        <f>ROUND(D10+$K$2*(_xlfn.XLOOKUP(C10,H:H,I:I)-D10),0)</f>
        <v>4024</v>
      </c>
      <c r="F10">
        <f>E10-D10</f>
        <v>52</v>
      </c>
      <c r="H10" t="str">
        <v>4C</v>
      </c>
      <c r="I10">
        <f>ROUND(AVERAGEIF(C:C,H10,D:D),0)</f>
        <v>3290</v>
      </c>
    </row>
    <row r="11" spans="1:11" x14ac:dyDescent="0.25">
      <c r="A11">
        <v>8</v>
      </c>
      <c r="B11" s="2" t="s">
        <v>80</v>
      </c>
      <c r="C11" s="1">
        <v>2</v>
      </c>
      <c r="D11">
        <v>4160</v>
      </c>
      <c r="E11">
        <f>ROUND(D11+$K$2*(_xlfn.XLOOKUP(C11,H:H,I:I)-D11),0)</f>
        <v>4150</v>
      </c>
      <c r="F11">
        <f>E11-D11</f>
        <v>-10</v>
      </c>
      <c r="H11" t="str">
        <v>5A</v>
      </c>
      <c r="I11">
        <f>ROUND(AVERAGEIF(C:C,H11,D:D),0)</f>
        <v>3052</v>
      </c>
    </row>
    <row r="12" spans="1:11" x14ac:dyDescent="0.25">
      <c r="A12">
        <v>3</v>
      </c>
      <c r="B12" s="2" t="s">
        <v>92</v>
      </c>
      <c r="C12" s="1">
        <v>2</v>
      </c>
      <c r="D12">
        <v>4522</v>
      </c>
      <c r="E12">
        <f>ROUND(D12+$K$2*(_xlfn.XLOOKUP(C12,H:H,I:I)-D12),0)</f>
        <v>4392</v>
      </c>
      <c r="F12">
        <f>E12-D12</f>
        <v>-130</v>
      </c>
      <c r="H12" t="str">
        <v>5B</v>
      </c>
      <c r="I12">
        <f>ROUND(AVERAGEIF(C:C,H12,D:D),0)</f>
        <v>2901</v>
      </c>
    </row>
    <row r="13" spans="1:11" x14ac:dyDescent="0.25">
      <c r="A13">
        <v>18</v>
      </c>
      <c r="B13" s="2" t="s">
        <v>99</v>
      </c>
      <c r="C13" s="1">
        <v>2</v>
      </c>
      <c r="D13">
        <v>3913</v>
      </c>
      <c r="E13">
        <f>ROUND(D13+$K$2*(_xlfn.XLOOKUP(C13,H:H,I:I)-D13),0)</f>
        <v>3984</v>
      </c>
      <c r="F13">
        <f>E13-D13</f>
        <v>71</v>
      </c>
      <c r="H13" t="str">
        <v>5C</v>
      </c>
      <c r="I13">
        <f>ROUND(AVERAGEIF(C:C,H13,D:D),0)</f>
        <v>2925</v>
      </c>
    </row>
    <row r="14" spans="1:11" x14ac:dyDescent="0.25">
      <c r="A14">
        <v>16</v>
      </c>
      <c r="B14" s="2" t="s">
        <v>114</v>
      </c>
      <c r="C14" s="1">
        <v>2</v>
      </c>
      <c r="D14">
        <v>3963</v>
      </c>
      <c r="E14">
        <f>ROUND(D14+$K$2*(_xlfn.XLOOKUP(C14,H:H,I:I)-D14),0)</f>
        <v>4018</v>
      </c>
      <c r="F14">
        <f>E14-D14</f>
        <v>55</v>
      </c>
      <c r="H14" t="str">
        <v>5D</v>
      </c>
      <c r="I14">
        <f>ROUND(AVERAGEIF(C:C,H14,D:D),0)</f>
        <v>2772</v>
      </c>
    </row>
    <row r="15" spans="1:11" x14ac:dyDescent="0.25">
      <c r="A15">
        <v>6</v>
      </c>
      <c r="B15" s="2" t="s">
        <v>145</v>
      </c>
      <c r="C15" s="1">
        <v>2</v>
      </c>
      <c r="D15">
        <v>4291</v>
      </c>
      <c r="E15">
        <f>ROUND(D15+$K$2*(_xlfn.XLOOKUP(C15,H:H,I:I)-D15),0)</f>
        <v>4238</v>
      </c>
      <c r="F15">
        <f>E15-D15</f>
        <v>-53</v>
      </c>
      <c r="H15" t="str">
        <v>6A</v>
      </c>
      <c r="I15">
        <f>ROUND(AVERAGEIF(C:C,H15,D:D),0)</f>
        <v>2593</v>
      </c>
    </row>
    <row r="16" spans="1:11" x14ac:dyDescent="0.25">
      <c r="A16">
        <v>13</v>
      </c>
      <c r="B16" s="2" t="s">
        <v>147</v>
      </c>
      <c r="C16" s="1">
        <v>2</v>
      </c>
      <c r="D16">
        <v>4023</v>
      </c>
      <c r="E16">
        <f>ROUND(D16+$K$2*(_xlfn.XLOOKUP(C16,H:H,I:I)-D16),0)</f>
        <v>4058</v>
      </c>
      <c r="F16">
        <f>E16-D16</f>
        <v>35</v>
      </c>
      <c r="H16" t="str">
        <v>6B</v>
      </c>
      <c r="I16">
        <f>ROUND(AVERAGEIF(C:C,H16,D:D),0)</f>
        <v>2524</v>
      </c>
    </row>
    <row r="17" spans="1:9" x14ac:dyDescent="0.25">
      <c r="A17">
        <v>137</v>
      </c>
      <c r="B17" s="3" t="s">
        <v>9</v>
      </c>
      <c r="C17" s="6" t="s">
        <v>10</v>
      </c>
      <c r="D17" s="3">
        <v>719</v>
      </c>
      <c r="E17" s="3">
        <f>ROUND(D17+$K$2*(_xlfn.XLOOKUP(C17,H:H,I:I)-D17),0)</f>
        <v>763</v>
      </c>
      <c r="F17">
        <f>E17-D17</f>
        <v>44</v>
      </c>
      <c r="H17" t="str">
        <v>6C</v>
      </c>
      <c r="I17">
        <f>ROUND(AVERAGEIF(C:C,H17,D:D),0)</f>
        <v>2471</v>
      </c>
    </row>
    <row r="18" spans="1:9" x14ac:dyDescent="0.25">
      <c r="B18" s="4" t="s">
        <v>163</v>
      </c>
      <c r="C18" s="1" t="s">
        <v>10</v>
      </c>
      <c r="D18">
        <v>699</v>
      </c>
      <c r="E18">
        <f>ROUND(D18+$K$2*(_xlfn.XLOOKUP(C18,H:H,I:I)-D18),0)</f>
        <v>750</v>
      </c>
      <c r="F18">
        <f>E18-D18</f>
        <v>51</v>
      </c>
      <c r="H18" t="str">
        <v>6D</v>
      </c>
      <c r="I18">
        <f>ROUND(AVERAGEIF(C:C,H18,D:D),0)</f>
        <v>2426</v>
      </c>
    </row>
    <row r="19" spans="1:9" x14ac:dyDescent="0.25">
      <c r="A19">
        <v>130</v>
      </c>
      <c r="B19" s="2" t="s">
        <v>15</v>
      </c>
      <c r="C19" s="1" t="s">
        <v>10</v>
      </c>
      <c r="D19">
        <v>1048</v>
      </c>
      <c r="E19">
        <f>ROUND(D19+$K$2*(_xlfn.XLOOKUP(C19,H:H,I:I)-D19),0)</f>
        <v>984</v>
      </c>
      <c r="F19">
        <f>E19-D19</f>
        <v>-64</v>
      </c>
      <c r="H19" t="str">
        <v>7A</v>
      </c>
      <c r="I19">
        <f>ROUND(AVERAGEIF(C:C,H19,D:D),0)</f>
        <v>2119</v>
      </c>
    </row>
    <row r="20" spans="1:9" x14ac:dyDescent="0.25">
      <c r="A20">
        <v>135</v>
      </c>
      <c r="B20" s="3" t="s">
        <v>45</v>
      </c>
      <c r="C20" s="6" t="s">
        <v>10</v>
      </c>
      <c r="D20" s="3">
        <v>945</v>
      </c>
      <c r="E20" s="3">
        <f>ROUND(D20+$K$2*(_xlfn.XLOOKUP(C20,H:H,I:I)-D20),0)</f>
        <v>915</v>
      </c>
      <c r="F20">
        <f>E20-D20</f>
        <v>-30</v>
      </c>
      <c r="H20" t="str">
        <v>7B</v>
      </c>
      <c r="I20">
        <f>ROUND(AVERAGEIF(C:C,H20,D:D),0)</f>
        <v>1896</v>
      </c>
    </row>
    <row r="21" spans="1:9" x14ac:dyDescent="0.25">
      <c r="A21">
        <v>131</v>
      </c>
      <c r="B21" s="2" t="s">
        <v>160</v>
      </c>
      <c r="C21" s="1" t="s">
        <v>104</v>
      </c>
      <c r="D21">
        <v>993</v>
      </c>
      <c r="E21">
        <f>ROUND(D21+$K$2*(_xlfn.XLOOKUP(C21,H:H,I:I)-D21),0)</f>
        <v>992</v>
      </c>
      <c r="F21">
        <f>E21-D21</f>
        <v>-1</v>
      </c>
      <c r="H21" t="str">
        <v>8A</v>
      </c>
      <c r="I21">
        <f>ROUND(AVERAGEIF(C:C,H21,D:D),0)</f>
        <v>1731</v>
      </c>
    </row>
    <row r="22" spans="1:9" x14ac:dyDescent="0.25">
      <c r="A22">
        <v>136</v>
      </c>
      <c r="B22" s="2" t="s">
        <v>140</v>
      </c>
      <c r="C22" s="1" t="s">
        <v>104</v>
      </c>
      <c r="D22">
        <v>864</v>
      </c>
      <c r="E22">
        <f>ROUND(D22+$K$2*(_xlfn.XLOOKUP(C22,H:H,I:I)-D22),0)</f>
        <v>906</v>
      </c>
      <c r="F22">
        <f>E22-D22</f>
        <v>42</v>
      </c>
      <c r="H22" t="str">
        <v>8B</v>
      </c>
      <c r="I22">
        <f>ROUND(AVERAGEIF(C:C,H22,D:D),0)</f>
        <v>1662</v>
      </c>
    </row>
    <row r="23" spans="1:9" x14ac:dyDescent="0.25">
      <c r="A23">
        <v>132</v>
      </c>
      <c r="B23" s="2" t="s">
        <v>139</v>
      </c>
      <c r="C23" s="1" t="s">
        <v>104</v>
      </c>
      <c r="D23">
        <v>990</v>
      </c>
      <c r="E23">
        <f>ROUND(D23+$K$2*(_xlfn.XLOOKUP(C23,H:H,I:I)-D23),0)</f>
        <v>990</v>
      </c>
      <c r="F23">
        <f>E23-D23</f>
        <v>0</v>
      </c>
      <c r="H23" t="str">
        <v>9A</v>
      </c>
      <c r="I23">
        <f>ROUND(AVERAGEIF(C:C,H23,D:D),0)</f>
        <v>1418</v>
      </c>
    </row>
    <row r="24" spans="1:9" x14ac:dyDescent="0.25">
      <c r="A24">
        <v>138</v>
      </c>
      <c r="B24" s="2" t="s">
        <v>161</v>
      </c>
      <c r="C24" s="1" t="s">
        <v>104</v>
      </c>
      <c r="D24">
        <v>605</v>
      </c>
      <c r="E24">
        <f>ROUND(D24+$K$2*(_xlfn.XLOOKUP(C24,H:H,I:I)-D24),0)</f>
        <v>732</v>
      </c>
      <c r="F24">
        <f>E24-D24</f>
        <v>127</v>
      </c>
      <c r="H24" t="str">
        <v>9B</v>
      </c>
      <c r="I24">
        <f>ROUND(AVERAGEIF(C:C,H24,D:D),0)</f>
        <v>1175</v>
      </c>
    </row>
    <row r="25" spans="1:9" x14ac:dyDescent="0.25">
      <c r="A25">
        <v>126</v>
      </c>
      <c r="B25" s="2" t="s">
        <v>159</v>
      </c>
      <c r="C25" s="1" t="s">
        <v>104</v>
      </c>
      <c r="D25">
        <v>1234</v>
      </c>
      <c r="E25">
        <f>ROUND(D25+$K$2*(_xlfn.XLOOKUP(C25,H:H,I:I)-D25),0)</f>
        <v>1153</v>
      </c>
      <c r="F25">
        <f>E25-D25</f>
        <v>-81</v>
      </c>
    </row>
    <row r="26" spans="1:9" x14ac:dyDescent="0.25">
      <c r="A26">
        <v>124</v>
      </c>
      <c r="B26" s="2" t="s">
        <v>141</v>
      </c>
      <c r="C26" s="1" t="s">
        <v>104</v>
      </c>
      <c r="D26">
        <v>1251</v>
      </c>
      <c r="E26">
        <f>ROUND(D26+$K$2*(_xlfn.XLOOKUP(C26,H:H,I:I)-D26),0)</f>
        <v>1165</v>
      </c>
      <c r="F26">
        <f>E26-D26</f>
        <v>-86</v>
      </c>
    </row>
    <row r="27" spans="1:9" x14ac:dyDescent="0.25">
      <c r="B27" s="7" t="s">
        <v>165</v>
      </c>
      <c r="C27" s="8" t="s">
        <v>104</v>
      </c>
      <c r="D27" s="7">
        <v>990</v>
      </c>
      <c r="E27" s="7">
        <f>ROUND(D27+$K$2*(_xlfn.XLOOKUP(C27,H:H,I:I)-D27),0)</f>
        <v>990</v>
      </c>
      <c r="F27">
        <f>E27-D27</f>
        <v>0</v>
      </c>
    </row>
    <row r="28" spans="1:9" x14ac:dyDescent="0.25">
      <c r="B28" s="7" t="s">
        <v>166</v>
      </c>
      <c r="C28" s="8" t="s">
        <v>104</v>
      </c>
      <c r="D28" s="7">
        <v>990</v>
      </c>
      <c r="E28" s="7">
        <f>ROUND(D28+$K$2*(_xlfn.XLOOKUP(C28,H:H,I:I)-D28),0)</f>
        <v>990</v>
      </c>
      <c r="F28">
        <f>E28-D28</f>
        <v>0</v>
      </c>
    </row>
    <row r="29" spans="1:9" x14ac:dyDescent="0.25">
      <c r="B29" s="7" t="s">
        <v>167</v>
      </c>
      <c r="C29" s="8" t="s">
        <v>104</v>
      </c>
      <c r="D29" s="7">
        <v>990</v>
      </c>
      <c r="E29" s="7">
        <f>ROUND(D29+$K$2*(_xlfn.XLOOKUP(C29,H:H,I:I)-D29),0)</f>
        <v>990</v>
      </c>
      <c r="F29">
        <f>E29-D29</f>
        <v>0</v>
      </c>
    </row>
    <row r="30" spans="1:9" x14ac:dyDescent="0.25">
      <c r="A30">
        <v>14</v>
      </c>
      <c r="B30" s="3" t="s">
        <v>26</v>
      </c>
      <c r="C30" s="6" t="s">
        <v>12</v>
      </c>
      <c r="D30" s="3">
        <v>3971</v>
      </c>
      <c r="E30" s="3">
        <f>ROUND(D30+$K$2*(_xlfn.XLOOKUP(C30,H:H,I:I)-D30),0)</f>
        <v>3955</v>
      </c>
      <c r="F30">
        <f>E30-D30</f>
        <v>-16</v>
      </c>
    </row>
    <row r="31" spans="1:9" x14ac:dyDescent="0.25">
      <c r="A31">
        <v>10</v>
      </c>
      <c r="B31" s="2" t="s">
        <v>47</v>
      </c>
      <c r="C31" s="1" t="s">
        <v>12</v>
      </c>
      <c r="D31">
        <v>4120</v>
      </c>
      <c r="E31">
        <f>ROUND(D31+$K$2*(_xlfn.XLOOKUP(C31,H:H,I:I)-D31),0)</f>
        <v>4055</v>
      </c>
      <c r="F31">
        <f>E31-D31</f>
        <v>-65</v>
      </c>
    </row>
    <row r="32" spans="1:9" x14ac:dyDescent="0.25">
      <c r="A32">
        <v>22</v>
      </c>
      <c r="B32" s="2" t="s">
        <v>85</v>
      </c>
      <c r="C32" s="1" t="s">
        <v>12</v>
      </c>
      <c r="D32">
        <v>3722</v>
      </c>
      <c r="E32">
        <f>ROUND(D32+$K$2*(_xlfn.XLOOKUP(C32,H:H,I:I)-D32),0)</f>
        <v>3789</v>
      </c>
      <c r="F32">
        <f>E32-D32</f>
        <v>67</v>
      </c>
    </row>
    <row r="33" spans="1:6" x14ac:dyDescent="0.25">
      <c r="A33">
        <v>20</v>
      </c>
      <c r="B33" s="2" t="s">
        <v>103</v>
      </c>
      <c r="C33" s="1" t="s">
        <v>12</v>
      </c>
      <c r="D33">
        <v>3761</v>
      </c>
      <c r="E33">
        <f>ROUND(D33+$K$2*(_xlfn.XLOOKUP(C33,H:H,I:I)-D33),0)</f>
        <v>3815</v>
      </c>
      <c r="F33">
        <f>E33-D33</f>
        <v>54</v>
      </c>
    </row>
    <row r="34" spans="1:6" x14ac:dyDescent="0.25">
      <c r="A34">
        <v>11</v>
      </c>
      <c r="B34" s="2" t="s">
        <v>117</v>
      </c>
      <c r="C34" s="1" t="s">
        <v>12</v>
      </c>
      <c r="D34">
        <v>4116</v>
      </c>
      <c r="E34">
        <f>ROUND(D34+$K$2*(_xlfn.XLOOKUP(C34,H:H,I:I)-D34),0)</f>
        <v>4053</v>
      </c>
      <c r="F34">
        <f>E34-D34</f>
        <v>-63</v>
      </c>
    </row>
    <row r="35" spans="1:6" x14ac:dyDescent="0.25">
      <c r="A35">
        <v>17</v>
      </c>
      <c r="B35" s="2" t="s">
        <v>146</v>
      </c>
      <c r="C35" s="1" t="s">
        <v>12</v>
      </c>
      <c r="D35">
        <v>3925</v>
      </c>
      <c r="E35">
        <f>ROUND(D35+$K$2*(_xlfn.XLOOKUP(C35,H:H,I:I)-D35),0)</f>
        <v>3925</v>
      </c>
      <c r="F35">
        <f>E35-D35</f>
        <v>0</v>
      </c>
    </row>
    <row r="36" spans="1:6" x14ac:dyDescent="0.25">
      <c r="B36" s="4" t="s">
        <v>168</v>
      </c>
      <c r="C36" s="1" t="s">
        <v>12</v>
      </c>
      <c r="D36">
        <v>4046</v>
      </c>
      <c r="E36">
        <f>ROUND(D36+$K$2*(_xlfn.XLOOKUP(C36,H:H,I:I)-D36),0)</f>
        <v>4006</v>
      </c>
      <c r="F36">
        <f>E36-D36</f>
        <v>-40</v>
      </c>
    </row>
    <row r="37" spans="1:6" x14ac:dyDescent="0.25">
      <c r="B37" s="4" t="s">
        <v>170</v>
      </c>
      <c r="C37" s="1" t="s">
        <v>12</v>
      </c>
      <c r="D37">
        <v>3733</v>
      </c>
      <c r="E37">
        <f>ROUND(D37+$K$2*(_xlfn.XLOOKUP(C37,H:H,I:I)-D37),0)</f>
        <v>3796</v>
      </c>
      <c r="F37">
        <f>E37-D37</f>
        <v>63</v>
      </c>
    </row>
    <row r="38" spans="1:6" x14ac:dyDescent="0.25">
      <c r="A38">
        <v>29</v>
      </c>
      <c r="B38" s="2" t="s">
        <v>36</v>
      </c>
      <c r="C38" s="1" t="s">
        <v>25</v>
      </c>
      <c r="D38">
        <v>3450</v>
      </c>
      <c r="E38">
        <f>ROUND(D38+$K$2*(_xlfn.XLOOKUP(C38,H:H,I:I)-D38),0)</f>
        <v>3527</v>
      </c>
      <c r="F38">
        <f>E38-D38</f>
        <v>77</v>
      </c>
    </row>
    <row r="39" spans="1:6" x14ac:dyDescent="0.25">
      <c r="A39">
        <v>21</v>
      </c>
      <c r="B39" s="2" t="s">
        <v>57</v>
      </c>
      <c r="C39" s="1" t="s">
        <v>25</v>
      </c>
      <c r="D39">
        <v>3725</v>
      </c>
      <c r="E39">
        <f>ROUND(D39+$K$2*(_xlfn.XLOOKUP(C39,H:H,I:I)-D39),0)</f>
        <v>3711</v>
      </c>
      <c r="F39">
        <f>E39-D39</f>
        <v>-14</v>
      </c>
    </row>
    <row r="40" spans="1:6" x14ac:dyDescent="0.25">
      <c r="A40">
        <v>19</v>
      </c>
      <c r="B40" s="2" t="s">
        <v>120</v>
      </c>
      <c r="C40" s="1" t="s">
        <v>25</v>
      </c>
      <c r="D40">
        <v>3877</v>
      </c>
      <c r="E40">
        <f>ROUND(D40+$K$2*(_xlfn.XLOOKUP(C40,H:H,I:I)-D40),0)</f>
        <v>3813</v>
      </c>
      <c r="F40">
        <f>E40-D40</f>
        <v>-64</v>
      </c>
    </row>
    <row r="41" spans="1:6" x14ac:dyDescent="0.25">
      <c r="A41">
        <v>23</v>
      </c>
      <c r="B41" s="2" t="s">
        <v>132</v>
      </c>
      <c r="C41" s="1" t="s">
        <v>25</v>
      </c>
      <c r="D41">
        <v>3652</v>
      </c>
      <c r="E41">
        <f>ROUND(D41+$K$2*(_xlfn.XLOOKUP(C41,H:H,I:I)-D41),0)</f>
        <v>3663</v>
      </c>
      <c r="F41">
        <f>E41-D41</f>
        <v>11</v>
      </c>
    </row>
    <row r="42" spans="1:6" x14ac:dyDescent="0.25">
      <c r="B42" s="4" t="s">
        <v>169</v>
      </c>
      <c r="C42" s="1" t="s">
        <v>25</v>
      </c>
      <c r="D42">
        <v>3714</v>
      </c>
      <c r="E42">
        <f>ROUND(D42+$K$2*(_xlfn.XLOOKUP(C42,H:H,I:I)-D42),0)</f>
        <v>3704</v>
      </c>
      <c r="F42">
        <f>E42-D42</f>
        <v>-10</v>
      </c>
    </row>
    <row r="43" spans="1:6" x14ac:dyDescent="0.25">
      <c r="A43">
        <v>32</v>
      </c>
      <c r="B43" s="2" t="s">
        <v>39</v>
      </c>
      <c r="C43" s="5" t="s">
        <v>37</v>
      </c>
      <c r="D43">
        <v>3377</v>
      </c>
      <c r="E43">
        <f>ROUND(D43+$K$2*(_xlfn.XLOOKUP(C43,H:H,I:I)-D43),0)</f>
        <v>3406</v>
      </c>
      <c r="F43">
        <f>E43-D43</f>
        <v>29</v>
      </c>
    </row>
    <row r="44" spans="1:6" x14ac:dyDescent="0.25">
      <c r="A44">
        <v>24</v>
      </c>
      <c r="B44" s="2" t="s">
        <v>119</v>
      </c>
      <c r="C44" s="5" t="s">
        <v>37</v>
      </c>
      <c r="D44">
        <v>3647</v>
      </c>
      <c r="E44">
        <f>ROUND(D44+$K$2*(_xlfn.XLOOKUP(C44,H:H,I:I)-D44),0)</f>
        <v>3587</v>
      </c>
      <c r="F44">
        <f>E44-D44</f>
        <v>-60</v>
      </c>
    </row>
    <row r="45" spans="1:6" x14ac:dyDescent="0.25">
      <c r="A45">
        <v>25</v>
      </c>
      <c r="B45" s="3" t="s">
        <v>31</v>
      </c>
      <c r="C45" s="6" t="s">
        <v>37</v>
      </c>
      <c r="D45" s="3">
        <v>3624</v>
      </c>
      <c r="E45" s="3">
        <f>ROUND(D45+$K$2*(_xlfn.XLOOKUP(C45,H:H,I:I)-D45),0)</f>
        <v>3572</v>
      </c>
      <c r="F45">
        <f>E45-D45</f>
        <v>-52</v>
      </c>
    </row>
    <row r="46" spans="1:6" x14ac:dyDescent="0.25">
      <c r="A46">
        <v>36</v>
      </c>
      <c r="B46" s="2" t="s">
        <v>79</v>
      </c>
      <c r="C46" s="1" t="s">
        <v>37</v>
      </c>
      <c r="D46">
        <v>3343</v>
      </c>
      <c r="E46">
        <f>ROUND(D46+$K$2*(_xlfn.XLOOKUP(C46,H:H,I:I)-D46),0)</f>
        <v>3383</v>
      </c>
      <c r="F46">
        <f>E46-D46</f>
        <v>40</v>
      </c>
    </row>
    <row r="47" spans="1:6" x14ac:dyDescent="0.25">
      <c r="A47">
        <v>35</v>
      </c>
      <c r="B47" s="2" t="s">
        <v>90</v>
      </c>
      <c r="C47" s="1" t="s">
        <v>37</v>
      </c>
      <c r="D47">
        <v>3346</v>
      </c>
      <c r="E47">
        <f>ROUND(D47+$K$2*(_xlfn.XLOOKUP(C47,H:H,I:I)-D47),0)</f>
        <v>3385</v>
      </c>
      <c r="F47">
        <f>E47-D47</f>
        <v>39</v>
      </c>
    </row>
    <row r="48" spans="1:6" x14ac:dyDescent="0.25">
      <c r="A48">
        <v>26</v>
      </c>
      <c r="B48" s="3" t="s">
        <v>121</v>
      </c>
      <c r="C48" s="6" t="s">
        <v>37</v>
      </c>
      <c r="D48" s="3">
        <v>3584</v>
      </c>
      <c r="E48" s="3">
        <f>ROUND(D48+$K$2*(_xlfn.XLOOKUP(C48,H:H,I:I)-D48),0)</f>
        <v>3545</v>
      </c>
      <c r="F48">
        <f>E48-D48</f>
        <v>-39</v>
      </c>
    </row>
    <row r="49" spans="1:7" x14ac:dyDescent="0.25">
      <c r="A49">
        <v>31</v>
      </c>
      <c r="B49" s="2" t="s">
        <v>133</v>
      </c>
      <c r="C49" s="9" t="s">
        <v>37</v>
      </c>
      <c r="D49" s="10">
        <v>3421</v>
      </c>
      <c r="E49" s="10">
        <f>ROUND(D49+$K$2*(_xlfn.XLOOKUP(C49,H:H,I:I)-D49),0)</f>
        <v>3436</v>
      </c>
      <c r="F49">
        <f>E49-D49</f>
        <v>15</v>
      </c>
    </row>
    <row r="50" spans="1:7" x14ac:dyDescent="0.25">
      <c r="A50">
        <v>30</v>
      </c>
      <c r="B50" s="2" t="s">
        <v>143</v>
      </c>
      <c r="C50" s="1" t="s">
        <v>37</v>
      </c>
      <c r="D50">
        <v>3421</v>
      </c>
      <c r="E50">
        <f>ROUND(D50+$K$2*(_xlfn.XLOOKUP(C50,H:H,I:I)-D50),0)</f>
        <v>3436</v>
      </c>
      <c r="F50">
        <f>E50-D50</f>
        <v>15</v>
      </c>
    </row>
    <row r="51" spans="1:7" x14ac:dyDescent="0.25">
      <c r="B51" s="4" t="s">
        <v>171</v>
      </c>
      <c r="C51" s="1" t="s">
        <v>37</v>
      </c>
      <c r="D51">
        <v>3424</v>
      </c>
      <c r="E51">
        <f>ROUND(D51+$K$2*(_xlfn.XLOOKUP(C51,H:H,I:I)-D51),0)</f>
        <v>3438</v>
      </c>
      <c r="F51">
        <f>E51-D51</f>
        <v>14</v>
      </c>
    </row>
    <row r="52" spans="1:7" x14ac:dyDescent="0.25">
      <c r="A52">
        <v>34</v>
      </c>
      <c r="B52" s="2" t="s">
        <v>48</v>
      </c>
      <c r="C52" s="1" t="s">
        <v>32</v>
      </c>
      <c r="D52">
        <v>3355</v>
      </c>
      <c r="E52">
        <f>ROUND(D52+$K$2*(_xlfn.XLOOKUP(C52,H:H,I:I)-D52),0)</f>
        <v>3345</v>
      </c>
      <c r="F52">
        <f>E52-D52</f>
        <v>-10</v>
      </c>
    </row>
    <row r="53" spans="1:7" x14ac:dyDescent="0.25">
      <c r="A53">
        <v>46</v>
      </c>
      <c r="B53" s="2" t="s">
        <v>65</v>
      </c>
      <c r="C53" s="1" t="s">
        <v>32</v>
      </c>
      <c r="D53">
        <v>3132</v>
      </c>
      <c r="E53">
        <f>ROUND(D53+$K$2*(_xlfn.XLOOKUP(C53,H:H,I:I)-D53),0)</f>
        <v>3195</v>
      </c>
      <c r="F53">
        <f>E53-D53</f>
        <v>63</v>
      </c>
    </row>
    <row r="54" spans="1:7" x14ac:dyDescent="0.25">
      <c r="A54">
        <v>37</v>
      </c>
      <c r="B54" s="2" t="s">
        <v>74</v>
      </c>
      <c r="C54" s="1" t="s">
        <v>32</v>
      </c>
      <c r="D54">
        <v>3326</v>
      </c>
      <c r="E54">
        <f>ROUND(D54+$K$2*(_xlfn.XLOOKUP(C54,H:H,I:I)-D54),0)</f>
        <v>3325</v>
      </c>
      <c r="F54">
        <f>E54-D54</f>
        <v>-1</v>
      </c>
    </row>
    <row r="55" spans="1:7" x14ac:dyDescent="0.25">
      <c r="A55">
        <v>27</v>
      </c>
      <c r="B55" s="2" t="s">
        <v>76</v>
      </c>
      <c r="C55" s="1" t="s">
        <v>32</v>
      </c>
      <c r="D55">
        <v>3548</v>
      </c>
      <c r="E55">
        <f>ROUND(D55+$K$2*(_xlfn.XLOOKUP(C55,H:H,I:I)-D55),0)</f>
        <v>3474</v>
      </c>
      <c r="F55">
        <f>E55-D55</f>
        <v>-74</v>
      </c>
    </row>
    <row r="56" spans="1:7" x14ac:dyDescent="0.25">
      <c r="A56">
        <v>33</v>
      </c>
      <c r="B56" s="2" t="s">
        <v>82</v>
      </c>
      <c r="C56" s="1" t="s">
        <v>32</v>
      </c>
      <c r="D56">
        <v>3358</v>
      </c>
      <c r="E56">
        <f>ROUND(D56+$K$2*(_xlfn.XLOOKUP(C56,H:H,I:I)-D56),0)</f>
        <v>3347</v>
      </c>
      <c r="F56">
        <f>E56-D56</f>
        <v>-11</v>
      </c>
    </row>
    <row r="57" spans="1:7" x14ac:dyDescent="0.25">
      <c r="A57">
        <v>40</v>
      </c>
      <c r="B57" s="2" t="s">
        <v>122</v>
      </c>
      <c r="C57" s="1" t="s">
        <v>32</v>
      </c>
      <c r="D57">
        <v>3225</v>
      </c>
      <c r="E57">
        <f>ROUND(D57+$K$2*(_xlfn.XLOOKUP(C57,H:H,I:I)-D57),0)</f>
        <v>3258</v>
      </c>
      <c r="F57">
        <f>E57-D57</f>
        <v>33</v>
      </c>
    </row>
    <row r="58" spans="1:7" x14ac:dyDescent="0.25">
      <c r="A58">
        <v>38</v>
      </c>
      <c r="B58" s="2" t="s">
        <v>42</v>
      </c>
      <c r="C58" s="1" t="s">
        <v>30</v>
      </c>
      <c r="D58">
        <v>3301</v>
      </c>
      <c r="E58">
        <f>ROUND(D58+$K$2*(_xlfn.XLOOKUP(C58,H:H,I:I)-D58),0)</f>
        <v>3297</v>
      </c>
      <c r="F58">
        <f>E58-D58</f>
        <v>-4</v>
      </c>
    </row>
    <row r="59" spans="1:7" x14ac:dyDescent="0.25">
      <c r="A59">
        <v>43</v>
      </c>
      <c r="B59" s="2" t="s">
        <v>58</v>
      </c>
      <c r="C59" s="1" t="s">
        <v>30</v>
      </c>
      <c r="D59">
        <v>3160</v>
      </c>
      <c r="E59">
        <f>ROUND(D59+$K$2*(_xlfn.XLOOKUP(C59,H:H,I:I)-D59),0)</f>
        <v>3203</v>
      </c>
      <c r="F59">
        <f>E59-D59</f>
        <v>43</v>
      </c>
    </row>
    <row r="60" spans="1:7" x14ac:dyDescent="0.25">
      <c r="A60">
        <v>28</v>
      </c>
      <c r="B60" s="2" t="s">
        <v>134</v>
      </c>
      <c r="C60" s="1" t="s">
        <v>30</v>
      </c>
      <c r="D60">
        <v>3518</v>
      </c>
      <c r="E60">
        <f>ROUND(D60+$K$2*(_xlfn.XLOOKUP(C60,H:H,I:I)-D60),0)</f>
        <v>3443</v>
      </c>
      <c r="F60">
        <f>E60-D60</f>
        <v>-75</v>
      </c>
    </row>
    <row r="61" spans="1:7" x14ac:dyDescent="0.25">
      <c r="A61">
        <v>41</v>
      </c>
      <c r="B61" s="2" t="s">
        <v>149</v>
      </c>
      <c r="C61" s="1" t="s">
        <v>30</v>
      </c>
      <c r="D61">
        <v>3173</v>
      </c>
      <c r="E61">
        <f>ROUND(D61+$K$2*(_xlfn.XLOOKUP(C61,H:H,I:I)-D61),0)</f>
        <v>3212</v>
      </c>
      <c r="F61">
        <f>E61-D61</f>
        <v>39</v>
      </c>
    </row>
    <row r="62" spans="1:7" x14ac:dyDescent="0.25">
      <c r="A62">
        <v>39</v>
      </c>
      <c r="B62" s="2" t="s">
        <v>155</v>
      </c>
      <c r="C62" s="1" t="s">
        <v>30</v>
      </c>
      <c r="D62">
        <v>3298</v>
      </c>
      <c r="E62">
        <f>ROUND(D62+$K$2*(_xlfn.XLOOKUP(C62,H:H,I:I)-D62),0)</f>
        <v>3295</v>
      </c>
      <c r="F62">
        <f>E62-D62</f>
        <v>-3</v>
      </c>
    </row>
    <row r="63" spans="1:7" x14ac:dyDescent="0.25">
      <c r="A63">
        <v>48</v>
      </c>
      <c r="B63" s="2" t="s">
        <v>88</v>
      </c>
      <c r="C63" s="5" t="s">
        <v>7</v>
      </c>
      <c r="D63">
        <v>3117</v>
      </c>
      <c r="E63">
        <f>ROUND(D63+$K$2*(_xlfn.XLOOKUP(C63,H:H,I:I)-D63),0)</f>
        <v>3096</v>
      </c>
      <c r="F63">
        <f>E63-D63</f>
        <v>-21</v>
      </c>
    </row>
    <row r="64" spans="1:7" x14ac:dyDescent="0.25">
      <c r="A64">
        <v>53</v>
      </c>
      <c r="B64" s="3" t="s">
        <v>6</v>
      </c>
      <c r="C64" s="6" t="s">
        <v>7</v>
      </c>
      <c r="D64" s="3">
        <v>3033</v>
      </c>
      <c r="E64" s="3">
        <f>ROUND(D64+$K$2*(_xlfn.XLOOKUP(C64,H:H,I:I)-D64),0)</f>
        <v>3039</v>
      </c>
      <c r="F64">
        <f>E64-D64</f>
        <v>6</v>
      </c>
      <c r="G64" t="str">
        <f>_xlfn.XLOOKUP(B64,J:J,S:S,"Missing")</f>
        <v>Missing</v>
      </c>
    </row>
    <row r="65" spans="1:7" x14ac:dyDescent="0.25">
      <c r="A65">
        <v>42</v>
      </c>
      <c r="B65" s="2" t="s">
        <v>29</v>
      </c>
      <c r="C65" s="1" t="s">
        <v>7</v>
      </c>
      <c r="D65">
        <v>3170</v>
      </c>
      <c r="E65">
        <f>ROUND(D65+$K$2*(_xlfn.XLOOKUP(C65,H:H,I:I)-D65),0)</f>
        <v>3131</v>
      </c>
      <c r="F65">
        <f>E65-D65</f>
        <v>-39</v>
      </c>
    </row>
    <row r="66" spans="1:7" x14ac:dyDescent="0.25">
      <c r="A66">
        <v>49</v>
      </c>
      <c r="B66" s="2" t="s">
        <v>41</v>
      </c>
      <c r="C66" s="1" t="s">
        <v>7</v>
      </c>
      <c r="D66">
        <v>3084</v>
      </c>
      <c r="E66">
        <f>ROUND(D66+$K$2*(_xlfn.XLOOKUP(C66,H:H,I:I)-D66),0)</f>
        <v>3073</v>
      </c>
      <c r="F66">
        <f>E66-D66</f>
        <v>-11</v>
      </c>
    </row>
    <row r="67" spans="1:7" x14ac:dyDescent="0.25">
      <c r="A67">
        <v>44</v>
      </c>
      <c r="B67" s="2" t="s">
        <v>46</v>
      </c>
      <c r="C67" s="1" t="s">
        <v>7</v>
      </c>
      <c r="D67">
        <v>3155</v>
      </c>
      <c r="E67">
        <f>ROUND(D67+$K$2*(_xlfn.XLOOKUP(C67,H:H,I:I)-D67),0)</f>
        <v>3121</v>
      </c>
      <c r="F67">
        <f>E67-D67</f>
        <v>-34</v>
      </c>
    </row>
    <row r="68" spans="1:7" x14ac:dyDescent="0.25">
      <c r="A68">
        <v>66</v>
      </c>
      <c r="B68" s="2" t="s">
        <v>93</v>
      </c>
      <c r="C68" s="1" t="s">
        <v>7</v>
      </c>
      <c r="D68">
        <v>2755</v>
      </c>
      <c r="E68">
        <f>ROUND(D68+$K$2*(_xlfn.XLOOKUP(C68,H:H,I:I)-D68),0)</f>
        <v>2853</v>
      </c>
      <c r="F68">
        <f>E68-D68</f>
        <v>98</v>
      </c>
    </row>
    <row r="69" spans="1:7" x14ac:dyDescent="0.25">
      <c r="A69">
        <v>52</v>
      </c>
      <c r="B69" s="2" t="s">
        <v>154</v>
      </c>
      <c r="C69" s="1" t="s">
        <v>7</v>
      </c>
      <c r="D69">
        <v>3049</v>
      </c>
      <c r="E69">
        <f>ROUND(D69+$K$2*(_xlfn.XLOOKUP(C69,H:H,I:I)-D69),0)</f>
        <v>3050</v>
      </c>
      <c r="F69">
        <f>E69-D69</f>
        <v>1</v>
      </c>
    </row>
    <row r="70" spans="1:7" x14ac:dyDescent="0.25">
      <c r="A70">
        <v>51</v>
      </c>
      <c r="B70" s="2" t="s">
        <v>71</v>
      </c>
      <c r="C70" s="1" t="s">
        <v>97</v>
      </c>
      <c r="D70">
        <v>3057</v>
      </c>
      <c r="E70">
        <f>ROUND(D70+$K$2*(_xlfn.XLOOKUP(C70,H:H,I:I)-D70),0)</f>
        <v>3006</v>
      </c>
      <c r="F70">
        <f>E70-D70</f>
        <v>-51</v>
      </c>
    </row>
    <row r="71" spans="1:7" x14ac:dyDescent="0.25">
      <c r="A71">
        <v>58</v>
      </c>
      <c r="B71" s="3" t="s">
        <v>96</v>
      </c>
      <c r="C71" s="6" t="s">
        <v>97</v>
      </c>
      <c r="D71" s="3">
        <v>2904</v>
      </c>
      <c r="E71" s="3">
        <f>ROUND(D71+$K$2*(_xlfn.XLOOKUP(C71,H:H,I:I)-D71),0)</f>
        <v>2903</v>
      </c>
      <c r="F71">
        <f>E71-D71</f>
        <v>-1</v>
      </c>
      <c r="G71" t="str">
        <f>_xlfn.XLOOKUP(B71,J:J,S:S,"Missing")</f>
        <v>Missing</v>
      </c>
    </row>
    <row r="72" spans="1:7" x14ac:dyDescent="0.25">
      <c r="A72">
        <v>68</v>
      </c>
      <c r="B72" s="2" t="s">
        <v>113</v>
      </c>
      <c r="C72" s="1" t="s">
        <v>97</v>
      </c>
      <c r="D72">
        <v>2726</v>
      </c>
      <c r="E72">
        <f>ROUND(D72+$K$2*(_xlfn.XLOOKUP(C72,H:H,I:I)-D72),0)</f>
        <v>2784</v>
      </c>
      <c r="F72">
        <f>E72-D72</f>
        <v>58</v>
      </c>
    </row>
    <row r="73" spans="1:7" x14ac:dyDescent="0.25">
      <c r="A73">
        <v>63</v>
      </c>
      <c r="B73" s="2" t="s">
        <v>116</v>
      </c>
      <c r="C73" s="1" t="s">
        <v>97</v>
      </c>
      <c r="D73">
        <v>2784</v>
      </c>
      <c r="E73">
        <f>ROUND(D73+$K$2*(_xlfn.XLOOKUP(C73,H:H,I:I)-D73),0)</f>
        <v>2823</v>
      </c>
      <c r="F73">
        <f>E73-D73</f>
        <v>39</v>
      </c>
    </row>
    <row r="74" spans="1:7" x14ac:dyDescent="0.25">
      <c r="A74">
        <v>50</v>
      </c>
      <c r="B74" s="2" t="s">
        <v>124</v>
      </c>
      <c r="C74" s="1" t="s">
        <v>97</v>
      </c>
      <c r="D74">
        <v>3081</v>
      </c>
      <c r="E74">
        <f>ROUND(D74+$K$2*(_xlfn.XLOOKUP(C74,H:H,I:I)-D74),0)</f>
        <v>3022</v>
      </c>
      <c r="F74">
        <f>E74-D74</f>
        <v>-59</v>
      </c>
    </row>
    <row r="75" spans="1:7" x14ac:dyDescent="0.25">
      <c r="A75">
        <v>60</v>
      </c>
      <c r="B75" s="3" t="s">
        <v>135</v>
      </c>
      <c r="C75" s="6" t="s">
        <v>97</v>
      </c>
      <c r="D75" s="3">
        <v>2853</v>
      </c>
      <c r="E75" s="3">
        <f>ROUND(D75+$K$2*(_xlfn.XLOOKUP(C75,H:H,I:I)-D75),0)</f>
        <v>2869</v>
      </c>
      <c r="F75">
        <f>E75-D75</f>
        <v>16</v>
      </c>
      <c r="G75" t="str">
        <f>_xlfn.XLOOKUP(B75,J:J,S:S,"Missing")</f>
        <v>Missing</v>
      </c>
    </row>
    <row r="76" spans="1:7" x14ac:dyDescent="0.25">
      <c r="A76">
        <v>54</v>
      </c>
      <c r="B76" s="2" t="s">
        <v>4</v>
      </c>
      <c r="C76" s="1" t="s">
        <v>33</v>
      </c>
      <c r="D76">
        <v>3022</v>
      </c>
      <c r="E76">
        <f>ROUND(D76+$K$2*(_xlfn.XLOOKUP(C76,H:H,I:I)-D76),0)</f>
        <v>2990</v>
      </c>
      <c r="F76">
        <f>E76-D76</f>
        <v>-32</v>
      </c>
    </row>
    <row r="77" spans="1:7" x14ac:dyDescent="0.25">
      <c r="A77">
        <v>45</v>
      </c>
      <c r="B77" s="3" t="s">
        <v>53</v>
      </c>
      <c r="C77" s="6" t="s">
        <v>33</v>
      </c>
      <c r="D77" s="3">
        <v>3148</v>
      </c>
      <c r="E77" s="3">
        <f>ROUND(D77+$K$2*(_xlfn.XLOOKUP(C77,H:H,I:I)-D77),0)</f>
        <v>3074</v>
      </c>
      <c r="F77">
        <f>E77-D77</f>
        <v>-74</v>
      </c>
      <c r="G77" t="str">
        <f>_xlfn.XLOOKUP(B77,J:J,S:S,"Missing")</f>
        <v>Missing</v>
      </c>
    </row>
    <row r="78" spans="1:7" x14ac:dyDescent="0.25">
      <c r="A78">
        <v>72</v>
      </c>
      <c r="B78" s="2" t="s">
        <v>81</v>
      </c>
      <c r="C78" s="1" t="s">
        <v>33</v>
      </c>
      <c r="D78">
        <v>2615</v>
      </c>
      <c r="E78">
        <f>ROUND(D78+$K$2*(_xlfn.XLOOKUP(C78,H:H,I:I)-D78),0)</f>
        <v>2717</v>
      </c>
      <c r="F78">
        <f>E78-D78</f>
        <v>102</v>
      </c>
    </row>
    <row r="79" spans="1:7" x14ac:dyDescent="0.25">
      <c r="A79">
        <v>57</v>
      </c>
      <c r="B79" s="2" t="s">
        <v>100</v>
      </c>
      <c r="C79" s="1" t="s">
        <v>33</v>
      </c>
      <c r="D79">
        <v>2905</v>
      </c>
      <c r="E79">
        <f>ROUND(D79+$K$2*(_xlfn.XLOOKUP(C79,H:H,I:I)-D79),0)</f>
        <v>2912</v>
      </c>
      <c r="F79">
        <f>E79-D79</f>
        <v>7</v>
      </c>
    </row>
    <row r="80" spans="1:7" x14ac:dyDescent="0.25">
      <c r="A80">
        <v>56</v>
      </c>
      <c r="B80" s="2" t="s">
        <v>144</v>
      </c>
      <c r="C80" s="1" t="s">
        <v>33</v>
      </c>
      <c r="D80">
        <v>2996</v>
      </c>
      <c r="E80">
        <f>ROUND(D80+$K$2*(_xlfn.XLOOKUP(C80,H:H,I:I)-D80),0)</f>
        <v>2973</v>
      </c>
      <c r="F80">
        <f>E80-D80</f>
        <v>-23</v>
      </c>
    </row>
    <row r="81" spans="1:6" x14ac:dyDescent="0.25">
      <c r="A81">
        <v>55</v>
      </c>
      <c r="B81" s="2" t="s">
        <v>158</v>
      </c>
      <c r="C81" s="1" t="s">
        <v>33</v>
      </c>
      <c r="D81">
        <v>3002</v>
      </c>
      <c r="E81">
        <f>ROUND(D81+$K$2*(_xlfn.XLOOKUP(C81,H:H,I:I)-D81),0)</f>
        <v>2977</v>
      </c>
      <c r="F81">
        <f>E81-D81</f>
        <v>-25</v>
      </c>
    </row>
    <row r="82" spans="1:6" x14ac:dyDescent="0.25">
      <c r="B82" s="4" t="s">
        <v>182</v>
      </c>
      <c r="C82" s="1" t="s">
        <v>33</v>
      </c>
      <c r="D82">
        <v>2785</v>
      </c>
      <c r="E82">
        <f>ROUND(D82+$K$2*(_xlfn.XLOOKUP(C82,H:H,I:I)-D82),0)</f>
        <v>2831</v>
      </c>
      <c r="F82">
        <f>E82-D82</f>
        <v>46</v>
      </c>
    </row>
    <row r="83" spans="1:6" x14ac:dyDescent="0.25">
      <c r="A83">
        <v>62</v>
      </c>
      <c r="B83" s="2" t="s">
        <v>18</v>
      </c>
      <c r="C83" s="1" t="s">
        <v>5</v>
      </c>
      <c r="D83">
        <v>2788</v>
      </c>
      <c r="E83">
        <f>ROUND(D83+$K$2*(_xlfn.XLOOKUP(C83,H:H,I:I)-D83),0)</f>
        <v>2783</v>
      </c>
      <c r="F83">
        <f>E83-D83</f>
        <v>-5</v>
      </c>
    </row>
    <row r="84" spans="1:6" x14ac:dyDescent="0.25">
      <c r="A84">
        <v>78</v>
      </c>
      <c r="B84" s="2" t="s">
        <v>55</v>
      </c>
      <c r="C84" s="1" t="s">
        <v>5</v>
      </c>
      <c r="D84">
        <v>2523</v>
      </c>
      <c r="E84">
        <f>ROUND(D84+$K$2*(_xlfn.XLOOKUP(C84,H:H,I:I)-D84),0)</f>
        <v>2605</v>
      </c>
      <c r="F84">
        <f>E84-D84</f>
        <v>82</v>
      </c>
    </row>
    <row r="85" spans="1:6" x14ac:dyDescent="0.25">
      <c r="A85">
        <v>61</v>
      </c>
      <c r="B85" s="2" t="s">
        <v>63</v>
      </c>
      <c r="C85" s="1" t="s">
        <v>5</v>
      </c>
      <c r="D85">
        <v>2809</v>
      </c>
      <c r="E85">
        <f>ROUND(D85+$K$2*(_xlfn.XLOOKUP(C85,H:H,I:I)-D85),0)</f>
        <v>2797</v>
      </c>
      <c r="F85">
        <f>E85-D85</f>
        <v>-12</v>
      </c>
    </row>
    <row r="86" spans="1:6" x14ac:dyDescent="0.25">
      <c r="A86">
        <v>83</v>
      </c>
      <c r="B86" s="2" t="s">
        <v>86</v>
      </c>
      <c r="C86" s="1" t="s">
        <v>5</v>
      </c>
      <c r="D86">
        <v>2397</v>
      </c>
      <c r="E86">
        <f>ROUND(D86+$K$2*(_xlfn.XLOOKUP(C86,H:H,I:I)-D86),0)</f>
        <v>2521</v>
      </c>
      <c r="F86">
        <f>E86-D86</f>
        <v>124</v>
      </c>
    </row>
    <row r="87" spans="1:6" x14ac:dyDescent="0.25">
      <c r="A87">
        <v>69</v>
      </c>
      <c r="B87" s="2" t="s">
        <v>107</v>
      </c>
      <c r="C87" s="1" t="s">
        <v>5</v>
      </c>
      <c r="D87">
        <v>2701</v>
      </c>
      <c r="E87">
        <f>ROUND(D87+$K$2*(_xlfn.XLOOKUP(C87,H:H,I:I)-D87),0)</f>
        <v>2724</v>
      </c>
      <c r="F87">
        <f>E87-D87</f>
        <v>23</v>
      </c>
    </row>
    <row r="88" spans="1:6" x14ac:dyDescent="0.25">
      <c r="A88">
        <v>47</v>
      </c>
      <c r="B88" s="2" t="s">
        <v>177</v>
      </c>
      <c r="C88" s="9" t="s">
        <v>5</v>
      </c>
      <c r="D88" s="10">
        <v>3125</v>
      </c>
      <c r="E88" s="10">
        <f>ROUND(D88+$K$2*(_xlfn.XLOOKUP(C88,H:H,I:I)-D88),0)</f>
        <v>3009</v>
      </c>
      <c r="F88">
        <f>E88-D88</f>
        <v>-116</v>
      </c>
    </row>
    <row r="89" spans="1:6" x14ac:dyDescent="0.25">
      <c r="A89">
        <v>59</v>
      </c>
      <c r="B89" s="2" t="s">
        <v>27</v>
      </c>
      <c r="C89" s="5" t="s">
        <v>5</v>
      </c>
      <c r="D89">
        <v>2888</v>
      </c>
      <c r="E89">
        <f>ROUND(D89+$K$2*(_xlfn.XLOOKUP(C89,H:H,I:I)-D89),0)</f>
        <v>2850</v>
      </c>
      <c r="F89">
        <f>E89-D89</f>
        <v>-38</v>
      </c>
    </row>
    <row r="90" spans="1:6" x14ac:dyDescent="0.25">
      <c r="B90" s="4" t="s">
        <v>181</v>
      </c>
      <c r="C90" s="1" t="s">
        <v>5</v>
      </c>
      <c r="D90">
        <v>2942</v>
      </c>
      <c r="E90">
        <f>ROUND(D90+$K$2*(_xlfn.XLOOKUP(C90,H:H,I:I)-D90),0)</f>
        <v>2886</v>
      </c>
      <c r="F90">
        <f>E90-D90</f>
        <v>-56</v>
      </c>
    </row>
    <row r="91" spans="1:6" x14ac:dyDescent="0.25">
      <c r="A91">
        <v>70</v>
      </c>
      <c r="B91" s="2" t="s">
        <v>43</v>
      </c>
      <c r="C91" s="1" t="s">
        <v>28</v>
      </c>
      <c r="D91">
        <v>2683</v>
      </c>
      <c r="E91">
        <f>ROUND(D91+$K$2*(_xlfn.XLOOKUP(C91,H:H,I:I)-D91),0)</f>
        <v>2653</v>
      </c>
      <c r="F91">
        <f>E91-D91</f>
        <v>-30</v>
      </c>
    </row>
    <row r="92" spans="1:6" x14ac:dyDescent="0.25">
      <c r="A92">
        <v>64</v>
      </c>
      <c r="B92" s="2" t="s">
        <v>64</v>
      </c>
      <c r="C92" s="1" t="s">
        <v>28</v>
      </c>
      <c r="D92">
        <v>2766</v>
      </c>
      <c r="E92">
        <f>ROUND(D92+$K$2*(_xlfn.XLOOKUP(C92,H:H,I:I)-D92),0)</f>
        <v>2709</v>
      </c>
      <c r="F92">
        <f>E92-D92</f>
        <v>-57</v>
      </c>
    </row>
    <row r="93" spans="1:6" x14ac:dyDescent="0.25">
      <c r="A93">
        <v>80</v>
      </c>
      <c r="B93" s="2" t="s">
        <v>70</v>
      </c>
      <c r="C93" s="1" t="s">
        <v>28</v>
      </c>
      <c r="D93">
        <v>2476</v>
      </c>
      <c r="E93">
        <f>ROUND(D93+$K$2*(_xlfn.XLOOKUP(C93,H:H,I:I)-D93),0)</f>
        <v>2515</v>
      </c>
      <c r="F93">
        <f>E93-D93</f>
        <v>39</v>
      </c>
    </row>
    <row r="94" spans="1:6" x14ac:dyDescent="0.25">
      <c r="A94">
        <v>75</v>
      </c>
      <c r="B94" s="2" t="s">
        <v>131</v>
      </c>
      <c r="C94" s="1" t="s">
        <v>28</v>
      </c>
      <c r="D94">
        <v>2572</v>
      </c>
      <c r="E94">
        <f>ROUND(D94+$K$2*(_xlfn.XLOOKUP(C94,H:H,I:I)-D94),0)</f>
        <v>2579</v>
      </c>
      <c r="F94">
        <f>E94-D94</f>
        <v>7</v>
      </c>
    </row>
    <row r="95" spans="1:6" x14ac:dyDescent="0.25">
      <c r="A95">
        <v>88</v>
      </c>
      <c r="B95" s="2" t="s">
        <v>142</v>
      </c>
      <c r="C95" s="1" t="s">
        <v>28</v>
      </c>
      <c r="D95">
        <v>2284</v>
      </c>
      <c r="E95">
        <f>ROUND(D95+$K$2*(_xlfn.XLOOKUP(C95,H:H,I:I)-D95),0)</f>
        <v>2386</v>
      </c>
      <c r="F95">
        <f>E95-D95</f>
        <v>102</v>
      </c>
    </row>
    <row r="96" spans="1:6" x14ac:dyDescent="0.25">
      <c r="B96" s="4" t="s">
        <v>176</v>
      </c>
      <c r="C96" s="9" t="s">
        <v>28</v>
      </c>
      <c r="D96" s="10">
        <v>2625</v>
      </c>
      <c r="E96" s="10">
        <f>ROUND(D96+$K$2*(_xlfn.XLOOKUP(C96,H:H,I:I)-D96),0)</f>
        <v>2614</v>
      </c>
      <c r="F96">
        <f>E96-D96</f>
        <v>-11</v>
      </c>
    </row>
    <row r="97" spans="1:7" x14ac:dyDescent="0.25">
      <c r="B97" s="4" t="s">
        <v>183</v>
      </c>
      <c r="C97" s="9" t="s">
        <v>28</v>
      </c>
      <c r="D97" s="10">
        <v>2696</v>
      </c>
      <c r="E97" s="10">
        <f>ROUND(D97+$K$2*(_xlfn.XLOOKUP(C97,H:H,I:I)-D97),0)</f>
        <v>2662</v>
      </c>
      <c r="F97">
        <f>E97-D97</f>
        <v>-34</v>
      </c>
    </row>
    <row r="98" spans="1:7" x14ac:dyDescent="0.25">
      <c r="B98" s="4" t="s">
        <v>179</v>
      </c>
      <c r="C98" s="9" t="s">
        <v>28</v>
      </c>
      <c r="D98" s="10">
        <v>2640</v>
      </c>
      <c r="E98" s="10">
        <f>ROUND(D98+$K$2*(_xlfn.XLOOKUP(C98,H:H,I:I)-D98),0)</f>
        <v>2624</v>
      </c>
      <c r="F98">
        <f>E98-D98</f>
        <v>-16</v>
      </c>
    </row>
    <row r="99" spans="1:7" x14ac:dyDescent="0.25">
      <c r="A99">
        <v>84</v>
      </c>
      <c r="B99" s="2" t="s">
        <v>59</v>
      </c>
      <c r="C99" s="1" t="s">
        <v>44</v>
      </c>
      <c r="D99">
        <v>2382</v>
      </c>
      <c r="E99">
        <f>ROUND(D99+$K$2*(_xlfn.XLOOKUP(C99,H:H,I:I)-D99),0)</f>
        <v>2429</v>
      </c>
      <c r="F99">
        <f>E99-D99</f>
        <v>47</v>
      </c>
    </row>
    <row r="100" spans="1:7" x14ac:dyDescent="0.25">
      <c r="A100">
        <v>90</v>
      </c>
      <c r="B100" s="2" t="s">
        <v>61</v>
      </c>
      <c r="C100" s="1" t="s">
        <v>44</v>
      </c>
      <c r="D100">
        <v>2277</v>
      </c>
      <c r="E100">
        <f>ROUND(D100+$K$2*(_xlfn.XLOOKUP(C100,H:H,I:I)-D100),0)</f>
        <v>2359</v>
      </c>
      <c r="F100">
        <f>E100-D100</f>
        <v>82</v>
      </c>
    </row>
    <row r="101" spans="1:7" x14ac:dyDescent="0.25">
      <c r="A101">
        <v>65</v>
      </c>
      <c r="B101" s="2" t="s">
        <v>72</v>
      </c>
      <c r="C101" s="1" t="s">
        <v>44</v>
      </c>
      <c r="D101">
        <v>2763</v>
      </c>
      <c r="E101">
        <f>ROUND(D101+$K$2*(_xlfn.XLOOKUP(C101,H:H,I:I)-D101),0)</f>
        <v>2684</v>
      </c>
      <c r="F101">
        <f>E101-D101</f>
        <v>-79</v>
      </c>
    </row>
    <row r="102" spans="1:7" x14ac:dyDescent="0.25">
      <c r="A102">
        <v>67</v>
      </c>
      <c r="B102" s="2" t="s">
        <v>87</v>
      </c>
      <c r="C102" s="1" t="s">
        <v>44</v>
      </c>
      <c r="D102">
        <v>2746</v>
      </c>
      <c r="E102">
        <f>ROUND(D102+$K$2*(_xlfn.XLOOKUP(C102,H:H,I:I)-D102),0)</f>
        <v>2673</v>
      </c>
      <c r="F102">
        <f>E102-D102</f>
        <v>-73</v>
      </c>
    </row>
    <row r="103" spans="1:7" x14ac:dyDescent="0.25">
      <c r="A103">
        <v>76</v>
      </c>
      <c r="B103" s="2" t="s">
        <v>110</v>
      </c>
      <c r="C103" s="1" t="s">
        <v>44</v>
      </c>
      <c r="D103">
        <v>2544</v>
      </c>
      <c r="E103">
        <f>ROUND(D103+$K$2*(_xlfn.XLOOKUP(C103,H:H,I:I)-D103),0)</f>
        <v>2537</v>
      </c>
      <c r="F103">
        <f>E103-D103</f>
        <v>-7</v>
      </c>
    </row>
    <row r="104" spans="1:7" x14ac:dyDescent="0.25">
      <c r="A104">
        <v>74</v>
      </c>
      <c r="B104" s="3" t="s">
        <v>151</v>
      </c>
      <c r="C104" s="6" t="s">
        <v>44</v>
      </c>
      <c r="D104" s="3">
        <v>2583</v>
      </c>
      <c r="E104" s="3">
        <f>ROUND(D104+$K$2*(_xlfn.XLOOKUP(C104,H:H,I:I)-D104),0)</f>
        <v>2564</v>
      </c>
      <c r="F104">
        <f>E104-D104</f>
        <v>-19</v>
      </c>
      <c r="G104" t="str">
        <f t="shared" ref="G104:G111" si="0">_xlfn.XLOOKUP(B104,J:J,S:S,"Missing")</f>
        <v>Missing</v>
      </c>
    </row>
    <row r="105" spans="1:7" x14ac:dyDescent="0.25">
      <c r="B105" s="4" t="s">
        <v>178</v>
      </c>
      <c r="C105" s="9" t="s">
        <v>44</v>
      </c>
      <c r="D105" s="10">
        <v>2643</v>
      </c>
      <c r="E105" s="10">
        <f>ROUND(D105+$K$2*(_xlfn.XLOOKUP(C105,H:H,I:I)-D105),0)</f>
        <v>2604</v>
      </c>
      <c r="F105">
        <f>E105-D105</f>
        <v>-39</v>
      </c>
    </row>
    <row r="106" spans="1:7" x14ac:dyDescent="0.25">
      <c r="B106" s="4" t="s">
        <v>185</v>
      </c>
      <c r="C106" s="9" t="s">
        <v>44</v>
      </c>
      <c r="D106" s="10">
        <v>2250</v>
      </c>
      <c r="E106" s="10">
        <f>ROUND(D106+$K$2*(_xlfn.XLOOKUP(C106,H:H,I:I)-D106),0)</f>
        <v>2340</v>
      </c>
      <c r="F106">
        <f>E106-D106</f>
        <v>90</v>
      </c>
    </row>
    <row r="107" spans="1:7" x14ac:dyDescent="0.25">
      <c r="A107">
        <v>81</v>
      </c>
      <c r="B107" s="2" t="s">
        <v>13</v>
      </c>
      <c r="C107" s="1" t="s">
        <v>40</v>
      </c>
      <c r="D107">
        <v>2471</v>
      </c>
      <c r="E107">
        <f>ROUND(D107+$K$2*(_xlfn.XLOOKUP(C107,H:H,I:I)-D107),0)</f>
        <v>2471</v>
      </c>
      <c r="F107">
        <f>E107-D107</f>
        <v>0</v>
      </c>
    </row>
    <row r="108" spans="1:7" x14ac:dyDescent="0.25">
      <c r="A108">
        <v>79</v>
      </c>
      <c r="B108" s="2" t="s">
        <v>23</v>
      </c>
      <c r="C108" s="1" t="s">
        <v>40</v>
      </c>
      <c r="D108">
        <v>2510</v>
      </c>
      <c r="E108">
        <f>ROUND(D108+$K$2*(_xlfn.XLOOKUP(C108,H:H,I:I)-D108),0)</f>
        <v>2497</v>
      </c>
      <c r="F108">
        <f>E108-D108</f>
        <v>-13</v>
      </c>
    </row>
    <row r="109" spans="1:7" x14ac:dyDescent="0.25">
      <c r="A109">
        <v>73</v>
      </c>
      <c r="B109" s="2" t="s">
        <v>89</v>
      </c>
      <c r="C109" s="1" t="s">
        <v>40</v>
      </c>
      <c r="D109">
        <v>2591</v>
      </c>
      <c r="E109">
        <f>ROUND(D109+$K$2*(_xlfn.XLOOKUP(C109,H:H,I:I)-D109),0)</f>
        <v>2551</v>
      </c>
      <c r="F109">
        <f>E109-D109</f>
        <v>-40</v>
      </c>
    </row>
    <row r="110" spans="1:7" x14ac:dyDescent="0.25">
      <c r="A110">
        <v>87</v>
      </c>
      <c r="B110" s="2" t="s">
        <v>109</v>
      </c>
      <c r="C110" s="1" t="s">
        <v>40</v>
      </c>
      <c r="D110">
        <v>2304</v>
      </c>
      <c r="E110">
        <f>ROUND(D110+$K$2*(_xlfn.XLOOKUP(C110,H:H,I:I)-D110),0)</f>
        <v>2359</v>
      </c>
      <c r="F110">
        <f>E110-D110</f>
        <v>55</v>
      </c>
    </row>
    <row r="111" spans="1:7" x14ac:dyDescent="0.25">
      <c r="A111">
        <v>89</v>
      </c>
      <c r="B111" s="3" t="s">
        <v>150</v>
      </c>
      <c r="C111" s="6" t="s">
        <v>40</v>
      </c>
      <c r="D111" s="3">
        <v>2276</v>
      </c>
      <c r="E111" s="3">
        <f>ROUND(D111+$K$2*(_xlfn.XLOOKUP(C111,H:H,I:I)-D111),0)</f>
        <v>2340</v>
      </c>
      <c r="F111">
        <f>E111-D111</f>
        <v>64</v>
      </c>
      <c r="G111" t="str">
        <f t="shared" si="0"/>
        <v>Missing</v>
      </c>
    </row>
    <row r="112" spans="1:7" x14ac:dyDescent="0.25">
      <c r="A112">
        <v>71</v>
      </c>
      <c r="B112" s="2" t="s">
        <v>156</v>
      </c>
      <c r="C112" s="1" t="s">
        <v>40</v>
      </c>
      <c r="D112">
        <v>2676</v>
      </c>
      <c r="E112">
        <f>ROUND(D112+$K$2*(_xlfn.XLOOKUP(C112,H:H,I:I)-D112),0)</f>
        <v>2608</v>
      </c>
      <c r="F112">
        <f>E112-D112</f>
        <v>-68</v>
      </c>
    </row>
    <row r="113" spans="1:6" x14ac:dyDescent="0.25">
      <c r="B113" s="7" t="s">
        <v>180</v>
      </c>
      <c r="C113" s="8" t="s">
        <v>40</v>
      </c>
      <c r="D113" s="7">
        <v>2471</v>
      </c>
      <c r="E113" s="7">
        <f>ROUND(D113+$K$2*(_xlfn.XLOOKUP(C113,H:H,I:I)-D113),0)</f>
        <v>2471</v>
      </c>
      <c r="F113">
        <f>E113-D113</f>
        <v>0</v>
      </c>
    </row>
    <row r="114" spans="1:6" x14ac:dyDescent="0.25">
      <c r="B114" s="7" t="s">
        <v>175</v>
      </c>
      <c r="C114" s="8" t="s">
        <v>40</v>
      </c>
      <c r="D114" s="7">
        <v>2471</v>
      </c>
      <c r="E114" s="7">
        <f>ROUND(D114+$K$2*(_xlfn.XLOOKUP(C114,H:H,I:I)-D114),0)</f>
        <v>2471</v>
      </c>
      <c r="F114">
        <f>E114-D114</f>
        <v>0</v>
      </c>
    </row>
    <row r="115" spans="1:6" x14ac:dyDescent="0.25">
      <c r="A115">
        <v>77</v>
      </c>
      <c r="B115" s="2" t="s">
        <v>62</v>
      </c>
      <c r="C115" s="1" t="s">
        <v>14</v>
      </c>
      <c r="D115">
        <v>2535</v>
      </c>
      <c r="E115">
        <f>ROUND(D115+$K$2*(_xlfn.XLOOKUP(C115,H:H,I:I)-D115),0)</f>
        <v>2499</v>
      </c>
      <c r="F115">
        <f>E115-D115</f>
        <v>-36</v>
      </c>
    </row>
    <row r="116" spans="1:6" x14ac:dyDescent="0.25">
      <c r="A116">
        <v>86</v>
      </c>
      <c r="B116" s="2" t="s">
        <v>94</v>
      </c>
      <c r="C116" s="1" t="s">
        <v>14</v>
      </c>
      <c r="D116">
        <v>2317</v>
      </c>
      <c r="E116">
        <f>ROUND(D116+$K$2*(_xlfn.XLOOKUP(C116,H:H,I:I)-D116),0)</f>
        <v>2353</v>
      </c>
      <c r="F116">
        <f>E116-D116</f>
        <v>36</v>
      </c>
    </row>
    <row r="117" spans="1:6" x14ac:dyDescent="0.25">
      <c r="A117">
        <v>82</v>
      </c>
      <c r="B117" s="2" t="s">
        <v>38</v>
      </c>
      <c r="C117" s="5" t="s">
        <v>34</v>
      </c>
      <c r="D117">
        <v>2403</v>
      </c>
      <c r="E117">
        <f>ROUND(D117+$K$2*(_xlfn.XLOOKUP(C117,H:H,I:I)-D117),0)</f>
        <v>2309</v>
      </c>
      <c r="F117">
        <f>E117-D117</f>
        <v>-94</v>
      </c>
    </row>
    <row r="118" spans="1:6" x14ac:dyDescent="0.25">
      <c r="A118">
        <v>85</v>
      </c>
      <c r="B118" s="2" t="s">
        <v>112</v>
      </c>
      <c r="C118" s="5" t="s">
        <v>34</v>
      </c>
      <c r="D118">
        <v>2344</v>
      </c>
      <c r="E118">
        <f>ROUND(D118+$K$2*(_xlfn.XLOOKUP(C118,H:H,I:I)-D118),0)</f>
        <v>2270</v>
      </c>
      <c r="F118">
        <f>E118-D118</f>
        <v>-74</v>
      </c>
    </row>
    <row r="119" spans="1:6" x14ac:dyDescent="0.25">
      <c r="A119">
        <v>96</v>
      </c>
      <c r="B119" s="2" t="s">
        <v>128</v>
      </c>
      <c r="C119" s="5" t="s">
        <v>34</v>
      </c>
      <c r="D119">
        <v>2047</v>
      </c>
      <c r="E119">
        <f>ROUND(D119+$K$2*(_xlfn.XLOOKUP(C119,H:H,I:I)-D119),0)</f>
        <v>2071</v>
      </c>
      <c r="F119">
        <f>E119-D119</f>
        <v>24</v>
      </c>
    </row>
    <row r="120" spans="1:6" x14ac:dyDescent="0.25">
      <c r="A120">
        <v>93</v>
      </c>
      <c r="B120" s="2" t="s">
        <v>152</v>
      </c>
      <c r="C120" s="5" t="s">
        <v>34</v>
      </c>
      <c r="D120">
        <v>2118</v>
      </c>
      <c r="E120">
        <f>ROUND(D120+$K$2*(_xlfn.XLOOKUP(C120,H:H,I:I)-D120),0)</f>
        <v>2118</v>
      </c>
      <c r="F120">
        <f>E120-D120</f>
        <v>0</v>
      </c>
    </row>
    <row r="121" spans="1:6" x14ac:dyDescent="0.25">
      <c r="A121">
        <v>92</v>
      </c>
      <c r="B121" s="2" t="s">
        <v>17</v>
      </c>
      <c r="C121" s="1" t="s">
        <v>34</v>
      </c>
      <c r="D121">
        <v>2131</v>
      </c>
      <c r="E121">
        <f>ROUND(D121+$K$2*(_xlfn.XLOOKUP(C121,H:H,I:I)-D121),0)</f>
        <v>2127</v>
      </c>
      <c r="F121">
        <f>E121-D121</f>
        <v>-4</v>
      </c>
    </row>
    <row r="122" spans="1:6" x14ac:dyDescent="0.25">
      <c r="A122">
        <v>91</v>
      </c>
      <c r="B122" s="2" t="s">
        <v>54</v>
      </c>
      <c r="C122" s="1" t="s">
        <v>34</v>
      </c>
      <c r="D122">
        <v>2193</v>
      </c>
      <c r="E122">
        <f>ROUND(D122+$K$2*(_xlfn.XLOOKUP(C122,H:H,I:I)-D122),0)</f>
        <v>2169</v>
      </c>
      <c r="F122">
        <f>E122-D122</f>
        <v>-24</v>
      </c>
    </row>
    <row r="123" spans="1:6" x14ac:dyDescent="0.25">
      <c r="A123">
        <v>100</v>
      </c>
      <c r="B123" s="2" t="s">
        <v>69</v>
      </c>
      <c r="C123" s="1" t="s">
        <v>34</v>
      </c>
      <c r="D123">
        <v>1862</v>
      </c>
      <c r="E123">
        <f>ROUND(D123+$K$2*(_xlfn.XLOOKUP(C123,H:H,I:I)-D123),0)</f>
        <v>1947</v>
      </c>
      <c r="F123">
        <f>E123-D123</f>
        <v>85</v>
      </c>
    </row>
    <row r="124" spans="1:6" x14ac:dyDescent="0.25">
      <c r="A124">
        <v>106</v>
      </c>
      <c r="B124" s="2" t="s">
        <v>75</v>
      </c>
      <c r="C124" s="1" t="s">
        <v>34</v>
      </c>
      <c r="D124">
        <v>1816</v>
      </c>
      <c r="E124">
        <f>ROUND(D124+$K$2*(_xlfn.XLOOKUP(C124,H:H,I:I)-D124),0)</f>
        <v>1916</v>
      </c>
      <c r="F124">
        <f>E124-D124</f>
        <v>100</v>
      </c>
    </row>
    <row r="125" spans="1:6" x14ac:dyDescent="0.25">
      <c r="A125">
        <v>95</v>
      </c>
      <c r="B125" s="2" t="s">
        <v>77</v>
      </c>
      <c r="C125" s="1" t="s">
        <v>34</v>
      </c>
      <c r="D125">
        <v>2052</v>
      </c>
      <c r="E125">
        <f>ROUND(D125+$K$2*(_xlfn.XLOOKUP(C125,H:H,I:I)-D125),0)</f>
        <v>2074</v>
      </c>
      <c r="F125">
        <f>E125-D125</f>
        <v>22</v>
      </c>
    </row>
    <row r="126" spans="1:6" x14ac:dyDescent="0.25">
      <c r="A126">
        <v>97</v>
      </c>
      <c r="B126" s="2" t="s">
        <v>108</v>
      </c>
      <c r="C126" s="1" t="s">
        <v>34</v>
      </c>
      <c r="D126">
        <v>1966</v>
      </c>
      <c r="E126">
        <f>ROUND(D126+$K$2*(_xlfn.XLOOKUP(C126,H:H,I:I)-D126),0)</f>
        <v>2016</v>
      </c>
      <c r="F126">
        <f>E126-D126</f>
        <v>50</v>
      </c>
    </row>
    <row r="127" spans="1:6" x14ac:dyDescent="0.25">
      <c r="B127" s="4" t="s">
        <v>174</v>
      </c>
      <c r="C127" s="1" t="s">
        <v>34</v>
      </c>
      <c r="D127">
        <v>2373</v>
      </c>
      <c r="E127">
        <f>ROUND(D127+$K$2*(_xlfn.XLOOKUP(C127,H:H,I:I)-D127),0)</f>
        <v>2289</v>
      </c>
      <c r="F127">
        <f>E127-D127</f>
        <v>-84</v>
      </c>
    </row>
    <row r="128" spans="1:6" x14ac:dyDescent="0.25">
      <c r="A128">
        <v>98</v>
      </c>
      <c r="B128" s="2" t="s">
        <v>24</v>
      </c>
      <c r="C128" s="1" t="s">
        <v>11</v>
      </c>
      <c r="D128">
        <v>1940</v>
      </c>
      <c r="E128">
        <f>ROUND(D128+$K$2*(_xlfn.XLOOKUP(C128,H:H,I:I)-D128),0)</f>
        <v>1925</v>
      </c>
      <c r="F128">
        <f>E128-D128</f>
        <v>-15</v>
      </c>
    </row>
    <row r="129" spans="1:6" x14ac:dyDescent="0.25">
      <c r="A129">
        <v>109</v>
      </c>
      <c r="B129" s="2" t="s">
        <v>78</v>
      </c>
      <c r="C129" s="1" t="s">
        <v>11</v>
      </c>
      <c r="D129">
        <v>1763</v>
      </c>
      <c r="E129">
        <f>ROUND(D129+$K$2*(_xlfn.XLOOKUP(C129,H:H,I:I)-D129),0)</f>
        <v>1807</v>
      </c>
      <c r="F129">
        <f>E129-D129</f>
        <v>44</v>
      </c>
    </row>
    <row r="130" spans="1:6" x14ac:dyDescent="0.25">
      <c r="A130">
        <v>102</v>
      </c>
      <c r="B130" s="2" t="s">
        <v>91</v>
      </c>
      <c r="C130" s="1" t="s">
        <v>11</v>
      </c>
      <c r="D130">
        <v>1849</v>
      </c>
      <c r="E130">
        <f>ROUND(D130+$K$2*(_xlfn.XLOOKUP(C130,H:H,I:I)-D130),0)</f>
        <v>1865</v>
      </c>
      <c r="F130">
        <f>E130-D130</f>
        <v>16</v>
      </c>
    </row>
    <row r="131" spans="1:6" x14ac:dyDescent="0.25">
      <c r="A131">
        <v>99</v>
      </c>
      <c r="B131" s="2" t="s">
        <v>118</v>
      </c>
      <c r="C131" s="1" t="s">
        <v>11</v>
      </c>
      <c r="D131">
        <v>1870</v>
      </c>
      <c r="E131">
        <f>ROUND(D131+$K$2*(_xlfn.XLOOKUP(C131,H:H,I:I)-D131),0)</f>
        <v>1879</v>
      </c>
      <c r="F131">
        <f>E131-D131</f>
        <v>9</v>
      </c>
    </row>
    <row r="132" spans="1:6" x14ac:dyDescent="0.25">
      <c r="A132">
        <v>103</v>
      </c>
      <c r="B132" s="2" t="s">
        <v>127</v>
      </c>
      <c r="C132" s="1" t="s">
        <v>11</v>
      </c>
      <c r="D132">
        <v>1848</v>
      </c>
      <c r="E132">
        <f>ROUND(D132+$K$2*(_xlfn.XLOOKUP(C132,H:H,I:I)-D132),0)</f>
        <v>1864</v>
      </c>
      <c r="F132">
        <f>E132-D132</f>
        <v>16</v>
      </c>
    </row>
    <row r="133" spans="1:6" x14ac:dyDescent="0.25">
      <c r="A133">
        <v>94</v>
      </c>
      <c r="B133" s="2" t="s">
        <v>126</v>
      </c>
      <c r="C133" s="1" t="s">
        <v>11</v>
      </c>
      <c r="D133">
        <v>2104</v>
      </c>
      <c r="E133">
        <f>ROUND(D133+$K$2*(_xlfn.XLOOKUP(C133,H:H,I:I)-D133),0)</f>
        <v>2035</v>
      </c>
      <c r="F133">
        <f>E133-D133</f>
        <v>-69</v>
      </c>
    </row>
    <row r="134" spans="1:6" x14ac:dyDescent="0.25">
      <c r="A134">
        <v>110</v>
      </c>
      <c r="B134" s="2" t="s">
        <v>21</v>
      </c>
      <c r="C134" s="1" t="s">
        <v>22</v>
      </c>
      <c r="D134">
        <v>1747</v>
      </c>
      <c r="E134">
        <f>ROUND(D134+$K$2*(_xlfn.XLOOKUP(C134,H:H,I:I)-D134),0)</f>
        <v>1742</v>
      </c>
      <c r="F134">
        <f>E134-D134</f>
        <v>-5</v>
      </c>
    </row>
    <row r="135" spans="1:6" x14ac:dyDescent="0.25">
      <c r="A135">
        <v>113</v>
      </c>
      <c r="B135" s="2" t="s">
        <v>56</v>
      </c>
      <c r="C135" s="1" t="s">
        <v>22</v>
      </c>
      <c r="D135">
        <v>1607</v>
      </c>
      <c r="E135">
        <f>ROUND(D135+$K$2*(_xlfn.XLOOKUP(C135,H:H,I:I)-D135),0)</f>
        <v>1648</v>
      </c>
      <c r="F135">
        <f>E135-D135</f>
        <v>41</v>
      </c>
    </row>
    <row r="136" spans="1:6" x14ac:dyDescent="0.25">
      <c r="A136">
        <v>105</v>
      </c>
      <c r="B136" s="2" t="s">
        <v>102</v>
      </c>
      <c r="C136" s="1" t="s">
        <v>22</v>
      </c>
      <c r="D136">
        <v>1826</v>
      </c>
      <c r="E136">
        <f>ROUND(D136+$K$2*(_xlfn.XLOOKUP(C136,H:H,I:I)-D136),0)</f>
        <v>1795</v>
      </c>
      <c r="F136">
        <f>E136-D136</f>
        <v>-31</v>
      </c>
    </row>
    <row r="137" spans="1:6" x14ac:dyDescent="0.25">
      <c r="A137">
        <v>118</v>
      </c>
      <c r="B137" s="2" t="s">
        <v>125</v>
      </c>
      <c r="C137" s="1" t="s">
        <v>22</v>
      </c>
      <c r="D137">
        <v>1491</v>
      </c>
      <c r="E137">
        <f>ROUND(D137+$K$2*(_xlfn.XLOOKUP(C137,H:H,I:I)-D137),0)</f>
        <v>1570</v>
      </c>
      <c r="F137">
        <f>E137-D137</f>
        <v>79</v>
      </c>
    </row>
    <row r="138" spans="1:6" x14ac:dyDescent="0.25">
      <c r="A138">
        <v>108</v>
      </c>
      <c r="B138" s="2" t="s">
        <v>137</v>
      </c>
      <c r="C138" s="1" t="s">
        <v>22</v>
      </c>
      <c r="D138">
        <v>1775</v>
      </c>
      <c r="E138">
        <f>ROUND(D138+$K$2*(_xlfn.XLOOKUP(C138,H:H,I:I)-D138),0)</f>
        <v>1760</v>
      </c>
      <c r="F138">
        <f>E138-D138</f>
        <v>-15</v>
      </c>
    </row>
    <row r="139" spans="1:6" x14ac:dyDescent="0.25">
      <c r="A139">
        <v>111</v>
      </c>
      <c r="B139" s="2" t="s">
        <v>138</v>
      </c>
      <c r="C139" s="1" t="s">
        <v>22</v>
      </c>
      <c r="D139">
        <v>1667</v>
      </c>
      <c r="E139">
        <f>ROUND(D139+$K$2*(_xlfn.XLOOKUP(C139,H:H,I:I)-D139),0)</f>
        <v>1688</v>
      </c>
      <c r="F139">
        <f>E139-D139</f>
        <v>21</v>
      </c>
    </row>
    <row r="140" spans="1:6" x14ac:dyDescent="0.25">
      <c r="A140">
        <v>119</v>
      </c>
      <c r="B140" s="2" t="s">
        <v>66</v>
      </c>
      <c r="C140" s="1" t="s">
        <v>67</v>
      </c>
      <c r="D140">
        <v>1449</v>
      </c>
      <c r="E140">
        <f>ROUND(D140+$K$2*(_xlfn.XLOOKUP(C140,H:H,I:I)-D140),0)</f>
        <v>1519</v>
      </c>
      <c r="F140">
        <f>E140-D140</f>
        <v>70</v>
      </c>
    </row>
    <row r="141" spans="1:6" x14ac:dyDescent="0.25">
      <c r="A141">
        <v>120</v>
      </c>
      <c r="B141" s="2" t="s">
        <v>106</v>
      </c>
      <c r="C141" s="1" t="s">
        <v>67</v>
      </c>
      <c r="D141">
        <v>1366</v>
      </c>
      <c r="E141">
        <f>ROUND(D141+$K$2*(_xlfn.XLOOKUP(C141,H:H,I:I)-D141),0)</f>
        <v>1464</v>
      </c>
      <c r="F141">
        <f>E141-D141</f>
        <v>98</v>
      </c>
    </row>
    <row r="142" spans="1:6" x14ac:dyDescent="0.25">
      <c r="A142">
        <v>101</v>
      </c>
      <c r="B142" s="2" t="s">
        <v>101</v>
      </c>
      <c r="C142" s="1" t="s">
        <v>67</v>
      </c>
      <c r="D142">
        <v>1850</v>
      </c>
      <c r="E142">
        <f>ROUND(D142+$K$2*(_xlfn.XLOOKUP(C142,H:H,I:I)-D142),0)</f>
        <v>1788</v>
      </c>
      <c r="F142">
        <f>E142-D142</f>
        <v>-62</v>
      </c>
    </row>
    <row r="143" spans="1:6" x14ac:dyDescent="0.25">
      <c r="A143">
        <v>116</v>
      </c>
      <c r="B143" s="2" t="s">
        <v>123</v>
      </c>
      <c r="C143" s="1" t="s">
        <v>67</v>
      </c>
      <c r="D143">
        <v>1548</v>
      </c>
      <c r="E143">
        <f>ROUND(D143+$K$2*(_xlfn.XLOOKUP(C143,H:H,I:I)-D143),0)</f>
        <v>1586</v>
      </c>
      <c r="F143">
        <f>E143-D143</f>
        <v>38</v>
      </c>
    </row>
    <row r="144" spans="1:6" x14ac:dyDescent="0.25">
      <c r="A144">
        <v>104</v>
      </c>
      <c r="B144" s="2" t="s">
        <v>129</v>
      </c>
      <c r="C144" s="1" t="s">
        <v>67</v>
      </c>
      <c r="D144">
        <v>1823</v>
      </c>
      <c r="E144">
        <f>ROUND(D144+$K$2*(_xlfn.XLOOKUP(C144,H:H,I:I)-D144),0)</f>
        <v>1770</v>
      </c>
      <c r="F144">
        <f>E144-D144</f>
        <v>-53</v>
      </c>
    </row>
    <row r="145" spans="1:6" x14ac:dyDescent="0.25">
      <c r="A145">
        <v>115</v>
      </c>
      <c r="B145" s="2" t="s">
        <v>148</v>
      </c>
      <c r="C145" s="1" t="s">
        <v>67</v>
      </c>
      <c r="D145">
        <v>1552</v>
      </c>
      <c r="E145">
        <f>ROUND(D145+$K$2*(_xlfn.XLOOKUP(C145,H:H,I:I)-D145),0)</f>
        <v>1588</v>
      </c>
      <c r="F145">
        <f>E145-D145</f>
        <v>36</v>
      </c>
    </row>
    <row r="146" spans="1:6" x14ac:dyDescent="0.25">
      <c r="A146">
        <v>114</v>
      </c>
      <c r="B146" s="2" t="s">
        <v>98</v>
      </c>
      <c r="C146" s="5" t="s">
        <v>67</v>
      </c>
      <c r="D146">
        <v>1605</v>
      </c>
      <c r="E146">
        <f>ROUND(D146+$K$2*(_xlfn.XLOOKUP(C146,H:H,I:I)-D146),0)</f>
        <v>1624</v>
      </c>
      <c r="F146">
        <f>E146-D146</f>
        <v>19</v>
      </c>
    </row>
    <row r="147" spans="1:6" x14ac:dyDescent="0.25">
      <c r="A147">
        <v>107</v>
      </c>
      <c r="B147" s="2" t="s">
        <v>73</v>
      </c>
      <c r="C147" s="5" t="s">
        <v>67</v>
      </c>
      <c r="D147">
        <v>1778</v>
      </c>
      <c r="E147">
        <f>ROUND(D147+$K$2*(_xlfn.XLOOKUP(C147,H:H,I:I)-D147),0)</f>
        <v>1740</v>
      </c>
      <c r="F147">
        <f>E147-D147</f>
        <v>-38</v>
      </c>
    </row>
    <row r="148" spans="1:6" x14ac:dyDescent="0.25">
      <c r="B148" s="4" t="s">
        <v>172</v>
      </c>
      <c r="C148" s="9" t="s">
        <v>67</v>
      </c>
      <c r="D148">
        <v>1985</v>
      </c>
      <c r="E148">
        <f>ROUND(D148+$K$2*(_xlfn.XLOOKUP(C148,H:H,I:I)-D148),0)</f>
        <v>1878</v>
      </c>
      <c r="F148">
        <f>E148-D148</f>
        <v>-107</v>
      </c>
    </row>
    <row r="149" spans="1:6" x14ac:dyDescent="0.25">
      <c r="B149" s="4" t="s">
        <v>173</v>
      </c>
      <c r="C149" s="9" t="s">
        <v>22</v>
      </c>
      <c r="D149">
        <v>1529</v>
      </c>
      <c r="E149">
        <f>ROUND(D149+$K$2*(_xlfn.XLOOKUP(C149,H:H,I:I)-D149),0)</f>
        <v>1596</v>
      </c>
      <c r="F149">
        <f>E149-D149</f>
        <v>67</v>
      </c>
    </row>
    <row r="150" spans="1:6" x14ac:dyDescent="0.25">
      <c r="B150" s="4" t="s">
        <v>184</v>
      </c>
      <c r="C150" s="9" t="s">
        <v>22</v>
      </c>
      <c r="D150">
        <v>1917</v>
      </c>
      <c r="E150">
        <f>ROUND(D150+$K$2*(_xlfn.XLOOKUP(C150,H:H,I:I)-D150),0)</f>
        <v>1856</v>
      </c>
      <c r="F150">
        <f>E150-D150</f>
        <v>-61</v>
      </c>
    </row>
    <row r="151" spans="1:6" x14ac:dyDescent="0.25">
      <c r="B151" s="4" t="s">
        <v>186</v>
      </c>
      <c r="C151" s="9" t="s">
        <v>22</v>
      </c>
      <c r="D151">
        <v>2021</v>
      </c>
      <c r="E151">
        <f>ROUND(D151+$K$2*(_xlfn.XLOOKUP(C151,H:H,I:I)-D151),0)</f>
        <v>1925</v>
      </c>
      <c r="F151">
        <f>E151-D151</f>
        <v>-96</v>
      </c>
    </row>
    <row r="152" spans="1:6" x14ac:dyDescent="0.25">
      <c r="A152">
        <v>112</v>
      </c>
      <c r="B152" s="2" t="s">
        <v>19</v>
      </c>
      <c r="C152" s="1" t="s">
        <v>20</v>
      </c>
      <c r="D152">
        <v>1642</v>
      </c>
      <c r="E152">
        <f>ROUND(D152+$K$2*(_xlfn.XLOOKUP(C152,H:H,I:I)-D152),0)</f>
        <v>1568</v>
      </c>
      <c r="F152">
        <f>E152-D152</f>
        <v>-74</v>
      </c>
    </row>
    <row r="153" spans="1:6" x14ac:dyDescent="0.25">
      <c r="A153">
        <v>127</v>
      </c>
      <c r="B153" s="2" t="s">
        <v>51</v>
      </c>
      <c r="C153" s="1" t="s">
        <v>20</v>
      </c>
      <c r="D153">
        <v>1211</v>
      </c>
      <c r="E153">
        <f>ROUND(D153+$K$2*(_xlfn.XLOOKUP(C153,H:H,I:I)-D153),0)</f>
        <v>1279</v>
      </c>
      <c r="F153">
        <f>E153-D153</f>
        <v>68</v>
      </c>
    </row>
    <row r="154" spans="1:6" x14ac:dyDescent="0.25">
      <c r="A154">
        <v>117</v>
      </c>
      <c r="B154" s="2" t="s">
        <v>83</v>
      </c>
      <c r="C154" s="1" t="s">
        <v>20</v>
      </c>
      <c r="D154">
        <v>1516</v>
      </c>
      <c r="E154">
        <f>ROUND(D154+$K$2*(_xlfn.XLOOKUP(C154,H:H,I:I)-D154),0)</f>
        <v>1484</v>
      </c>
      <c r="F154">
        <f>E154-D154</f>
        <v>-32</v>
      </c>
    </row>
    <row r="155" spans="1:6" x14ac:dyDescent="0.25">
      <c r="A155">
        <v>123</v>
      </c>
      <c r="B155" s="2" t="s">
        <v>157</v>
      </c>
      <c r="C155" s="1" t="s">
        <v>20</v>
      </c>
      <c r="D155">
        <v>1302</v>
      </c>
      <c r="E155">
        <f>ROUND(D155+$K$2*(_xlfn.XLOOKUP(C155,H:H,I:I)-D155),0)</f>
        <v>1340</v>
      </c>
      <c r="F155">
        <f>E155-D155</f>
        <v>38</v>
      </c>
    </row>
    <row r="156" spans="1:6" x14ac:dyDescent="0.25">
      <c r="B156" s="4" t="s">
        <v>164</v>
      </c>
      <c r="C156" s="5" t="s">
        <v>16</v>
      </c>
      <c r="D156" s="4">
        <v>1175</v>
      </c>
      <c r="E156" s="4">
        <f>ROUND(D156+$K$2*(_xlfn.XLOOKUP(C156,H:H,I:I)-D156),0)</f>
        <v>1175</v>
      </c>
      <c r="F156">
        <f>E156-D156</f>
        <v>0</v>
      </c>
    </row>
    <row r="157" spans="1:6" x14ac:dyDescent="0.25">
      <c r="A157">
        <v>121</v>
      </c>
      <c r="B157" s="2" t="s">
        <v>68</v>
      </c>
      <c r="C157" s="5" t="s">
        <v>16</v>
      </c>
      <c r="D157">
        <v>1361</v>
      </c>
      <c r="E157">
        <f>ROUND(D157+$K$2*(_xlfn.XLOOKUP(C157,H:H,I:I)-D157),0)</f>
        <v>1300</v>
      </c>
      <c r="F157">
        <f>E157-D157</f>
        <v>-61</v>
      </c>
    </row>
    <row r="158" spans="1:6" x14ac:dyDescent="0.25">
      <c r="A158">
        <v>133</v>
      </c>
      <c r="B158" s="2" t="s">
        <v>60</v>
      </c>
      <c r="C158" s="1" t="s">
        <v>16</v>
      </c>
      <c r="D158">
        <v>989</v>
      </c>
      <c r="E158">
        <f>ROUND(D158+$K$2*(_xlfn.XLOOKUP(C158,H:H,I:I)-D158),0)</f>
        <v>1050</v>
      </c>
      <c r="F158">
        <f>E158-D158</f>
        <v>61</v>
      </c>
    </row>
    <row r="159" spans="1:6" x14ac:dyDescent="0.25">
      <c r="A159">
        <v>125</v>
      </c>
      <c r="B159" s="2" t="s">
        <v>105</v>
      </c>
      <c r="C159" s="1" t="s">
        <v>16</v>
      </c>
      <c r="D159">
        <v>1240</v>
      </c>
      <c r="E159">
        <f>ROUND(D159+$K$2*(_xlfn.XLOOKUP(C159,H:H,I:I)-D159),0)</f>
        <v>1219</v>
      </c>
      <c r="F159">
        <f>E159-D159</f>
        <v>-21</v>
      </c>
    </row>
    <row r="160" spans="1:6" x14ac:dyDescent="0.25">
      <c r="A160">
        <v>122</v>
      </c>
      <c r="B160" s="2" t="s">
        <v>111</v>
      </c>
      <c r="C160" s="1" t="s">
        <v>16</v>
      </c>
      <c r="D160">
        <v>1348</v>
      </c>
      <c r="E160">
        <f>ROUND(D160+$K$2*(_xlfn.XLOOKUP(C160,H:H,I:I)-D160),0)</f>
        <v>1291</v>
      </c>
      <c r="F160">
        <f>E160-D160</f>
        <v>-57</v>
      </c>
    </row>
    <row r="161" spans="1:6" x14ac:dyDescent="0.25">
      <c r="A161">
        <v>129</v>
      </c>
      <c r="B161" s="2" t="s">
        <v>115</v>
      </c>
      <c r="C161" s="1" t="s">
        <v>16</v>
      </c>
      <c r="D161">
        <v>1095</v>
      </c>
      <c r="E161">
        <f>ROUND(D161+$K$2*(_xlfn.XLOOKUP(C161,H:H,I:I)-D161),0)</f>
        <v>1121</v>
      </c>
      <c r="F161">
        <f>E161-D161</f>
        <v>26</v>
      </c>
    </row>
    <row r="162" spans="1:6" x14ac:dyDescent="0.25">
      <c r="A162">
        <v>134</v>
      </c>
      <c r="B162" s="2" t="s">
        <v>136</v>
      </c>
      <c r="C162" s="1" t="s">
        <v>16</v>
      </c>
      <c r="D162">
        <v>986</v>
      </c>
      <c r="E162">
        <f>ROUND(D162+$K$2*(_xlfn.XLOOKUP(C162,H:H,I:I)-D162),0)</f>
        <v>1048</v>
      </c>
      <c r="F162">
        <f>E162-D162</f>
        <v>62</v>
      </c>
    </row>
    <row r="163" spans="1:6" x14ac:dyDescent="0.25">
      <c r="A163">
        <v>128</v>
      </c>
      <c r="B163" s="2" t="s">
        <v>153</v>
      </c>
      <c r="C163" s="1" t="s">
        <v>16</v>
      </c>
      <c r="D163">
        <v>1207</v>
      </c>
      <c r="E163">
        <f>ROUND(D163+$K$2*(_xlfn.XLOOKUP(C163,H:H,I:I)-D163),0)</f>
        <v>1196</v>
      </c>
      <c r="F163">
        <f>E163-D163</f>
        <v>-11</v>
      </c>
    </row>
  </sheetData>
  <autoFilter ref="A1:F163" xr:uid="{7D935EE6-5B9C-4F74-9C70-F47CE547CAED}">
    <sortState xmlns:xlrd2="http://schemas.microsoft.com/office/spreadsheetml/2017/richdata2" ref="A2:F163">
      <sortCondition ref="C1:C163"/>
    </sortState>
  </autoFilter>
  <sortState xmlns:xlrd2="http://schemas.microsoft.com/office/spreadsheetml/2017/richdata2" ref="J63:K172">
    <sortCondition ref="K63:K172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initial_26_Summer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Christie</cp:lastModifiedBy>
  <dcterms:created xsi:type="dcterms:W3CDTF">2026-09-29T21:19:59Z</dcterms:created>
  <dcterms:modified xsi:type="dcterms:W3CDTF">2026-10-04T20:02:49Z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2026-09-29T21:30:03Z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d6b79daf-b7d1-48a9-adda-940eeafa97a9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