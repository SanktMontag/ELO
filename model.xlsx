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mannd\Documents\VSCode_Local\ELO-main\"/>
    </mc:Choice>
  </mc:AlternateContent>
  <xr:revisionPtr revIDLastSave="0" documentId="13_ncr:1_{897E6872-438F-48A8-9474-3DCDFDB5CD72}" xr6:coauthVersionLast="47" xr6:coauthVersionMax="47" xr10:uidLastSave="{00000000-0000-0000-0000-000000000000}"/>
  <bookViews>
    <workbookView xWindow="21045" yWindow="5295" windowWidth="15795" windowHeight="15285" xr2:uid="{0B53EF45-C4B6-4543-AE79-EC72A5088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3" i="1" l="1"/>
  <c r="AJ3" i="1" s="1"/>
  <c r="AF2" i="1"/>
  <c r="AJ2" i="1" s="1"/>
  <c r="AH3" i="1"/>
  <c r="AH2" i="1"/>
  <c r="Y13" i="1"/>
  <c r="Y12" i="1"/>
  <c r="Y11" i="1"/>
  <c r="Y10" i="1"/>
  <c r="Y9" i="1"/>
  <c r="Y8" i="1"/>
  <c r="Y7" i="1"/>
  <c r="Y6" i="1"/>
  <c r="Y5" i="1"/>
  <c r="Y4" i="1"/>
  <c r="AE2" i="1" s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P10" i="1" s="1"/>
  <c r="L11" i="1"/>
  <c r="M11" i="1"/>
  <c r="L12" i="1"/>
  <c r="M12" i="1"/>
  <c r="L13" i="1"/>
  <c r="M13" i="1"/>
  <c r="M2" i="1"/>
  <c r="L2" i="1"/>
  <c r="P2" i="1" s="1"/>
  <c r="K2" i="1"/>
  <c r="K3" i="1"/>
  <c r="K4" i="1"/>
  <c r="K5" i="1"/>
  <c r="K6" i="1"/>
  <c r="K7" i="1"/>
  <c r="K8" i="1"/>
  <c r="K9" i="1"/>
  <c r="K10" i="1"/>
  <c r="K11" i="1"/>
  <c r="K12" i="1"/>
  <c r="K13" i="1"/>
  <c r="G3" i="1"/>
  <c r="G4" i="1"/>
  <c r="G5" i="1"/>
  <c r="G6" i="1"/>
  <c r="G7" i="1"/>
  <c r="G8" i="1"/>
  <c r="G9" i="1"/>
  <c r="G10" i="1"/>
  <c r="G11" i="1"/>
  <c r="G12" i="1"/>
  <c r="G13" i="1"/>
  <c r="G2" i="1"/>
  <c r="H3" i="1"/>
  <c r="H4" i="1"/>
  <c r="H5" i="1"/>
  <c r="H6" i="1"/>
  <c r="H7" i="1"/>
  <c r="H8" i="1"/>
  <c r="H9" i="1"/>
  <c r="H10" i="1"/>
  <c r="H11" i="1"/>
  <c r="H12" i="1"/>
  <c r="H13" i="1"/>
  <c r="H2" i="1"/>
  <c r="F3" i="1"/>
  <c r="F4" i="1"/>
  <c r="F5" i="1"/>
  <c r="F6" i="1"/>
  <c r="F7" i="1"/>
  <c r="F8" i="1"/>
  <c r="F9" i="1"/>
  <c r="F10" i="1"/>
  <c r="F11" i="1"/>
  <c r="F12" i="1"/>
  <c r="F13" i="1"/>
  <c r="F2" i="1"/>
  <c r="AK2" i="1" l="1"/>
  <c r="AE3" i="1"/>
  <c r="AK3" i="1" s="1"/>
  <c r="P13" i="1"/>
  <c r="P7" i="1"/>
  <c r="P8" i="1"/>
  <c r="P12" i="1"/>
  <c r="P11" i="1"/>
  <c r="P9" i="1"/>
  <c r="O13" i="1"/>
  <c r="R13" i="1" s="1"/>
  <c r="P3" i="1"/>
  <c r="P6" i="1"/>
  <c r="O12" i="1"/>
  <c r="R12" i="1" s="1"/>
  <c r="O10" i="1"/>
  <c r="R10" i="1" s="1"/>
  <c r="O2" i="1"/>
  <c r="R2" i="1" s="1"/>
  <c r="O8" i="1"/>
  <c r="R8" i="1" s="1"/>
  <c r="P5" i="1"/>
  <c r="P4" i="1"/>
  <c r="O11" i="1"/>
  <c r="R11" i="1" s="1"/>
  <c r="O9" i="1"/>
  <c r="R9" i="1" s="1"/>
  <c r="O7" i="1"/>
  <c r="R7" i="1" s="1"/>
  <c r="O6" i="1"/>
  <c r="R6" i="1" s="1"/>
  <c r="O5" i="1"/>
  <c r="O4" i="1"/>
  <c r="R4" i="1" s="1"/>
  <c r="O3" i="1"/>
  <c r="R3" i="1" s="1"/>
  <c r="R5" i="1" l="1"/>
</calcChain>
</file>

<file path=xl/sharedStrings.xml><?xml version="1.0" encoding="utf-8"?>
<sst xmlns="http://schemas.openxmlformats.org/spreadsheetml/2006/main" count="6" uniqueCount="6">
  <si>
    <t>X2</t>
  </si>
  <si>
    <t>X</t>
  </si>
  <si>
    <t>B</t>
  </si>
  <si>
    <t>G</t>
  </si>
  <si>
    <t>K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</si>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</sst>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8030774278215221"/>
                  <c:y val="3.24792213473315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xVal>
          <c:yVal>
            <c:numRef>
              <c:f>Sheet1!$F$2:$F$13</c:f>
              <c:numCache>
                <c:formatCode>General</c:formatCode>
                <c:ptCount val="12"/>
                <c:pt idx="0">
                  <c:v>0.64095608287615979</c:v>
                </c:pt>
                <c:pt idx="1">
                  <c:v>0.57018293925702013</c:v>
                </c:pt>
                <c:pt idx="2">
                  <c:v>0.59016494471184977</c:v>
                </c:pt>
                <c:pt idx="3">
                  <c:v>0.48728103342970996</c:v>
                </c:pt>
                <c:pt idx="4">
                  <c:v>0.69033654143709011</c:v>
                </c:pt>
                <c:pt idx="5">
                  <c:v>0.3420206621387698</c:v>
                </c:pt>
                <c:pt idx="6">
                  <c:v>0.60092536485216996</c:v>
                </c:pt>
                <c:pt idx="7">
                  <c:v>0.8588793197160598</c:v>
                </c:pt>
                <c:pt idx="8">
                  <c:v>0.43009866729186985</c:v>
                </c:pt>
                <c:pt idx="9">
                  <c:v>0.6871411359971904</c:v>
                </c:pt>
                <c:pt idx="10">
                  <c:v>0.84366118200669993</c:v>
                </c:pt>
                <c:pt idx="11">
                  <c:v>2.3896827017182303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5-4C28-9CC3-EFCF9B2745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8030774278215221"/>
                  <c:y val="4.97732575094779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xVal>
          <c:yVal>
            <c:numRef>
              <c:f>Sheet1!$G$2:$G$13</c:f>
              <c:numCache>
                <c:formatCode>General</c:formatCode>
                <c:ptCount val="12"/>
                <c:pt idx="0">
                  <c:v>2.8497652582159598</c:v>
                </c:pt>
                <c:pt idx="1">
                  <c:v>2.6149068322981299</c:v>
                </c:pt>
                <c:pt idx="2">
                  <c:v>2.7982708933717499</c:v>
                </c:pt>
                <c:pt idx="3">
                  <c:v>2.7191011235954998</c:v>
                </c:pt>
                <c:pt idx="4">
                  <c:v>2.8728813559322002</c:v>
                </c:pt>
                <c:pt idx="5">
                  <c:v>2.5151515151515098</c:v>
                </c:pt>
                <c:pt idx="6">
                  <c:v>2.9565217391304301</c:v>
                </c:pt>
                <c:pt idx="7">
                  <c:v>3.4805194805194799</c:v>
                </c:pt>
                <c:pt idx="8">
                  <c:v>3.44827586206896</c:v>
                </c:pt>
                <c:pt idx="9">
                  <c:v>3.1212121212121202</c:v>
                </c:pt>
                <c:pt idx="10">
                  <c:v>3.4117647058823501</c:v>
                </c:pt>
                <c:pt idx="11">
                  <c:v>4.3333333333333304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5-4C28-9CC3-EFCF9B2745C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8362729658792653"/>
                  <c:y val="7.63261883931175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xVal>
          <c:yVal>
            <c:numRef>
              <c:f>Sheet1!$H$2:$H$13</c:f>
              <c:numCache>
                <c:formatCode>General</c:formatCode>
                <c:ptCount val="12"/>
                <c:pt idx="0">
                  <c:v>5.0585744335557603</c:v>
                </c:pt>
                <c:pt idx="1">
                  <c:v>4.6596307253392393</c:v>
                </c:pt>
                <c:pt idx="2">
                  <c:v>5.0063768420316501</c:v>
                </c:pt>
                <c:pt idx="3">
                  <c:v>4.9509212137612897</c:v>
                </c:pt>
                <c:pt idx="4">
                  <c:v>5.0554261704273102</c:v>
                </c:pt>
                <c:pt idx="5">
                  <c:v>4.6882823681642503</c:v>
                </c:pt>
                <c:pt idx="6">
                  <c:v>5.3121181134086903</c:v>
                </c:pt>
                <c:pt idx="7">
                  <c:v>6.1021596413229</c:v>
                </c:pt>
                <c:pt idx="8">
                  <c:v>6.4664530568460501</c:v>
                </c:pt>
                <c:pt idx="9">
                  <c:v>5.5552831064270496</c:v>
                </c:pt>
                <c:pt idx="10">
                  <c:v>5.9798682297580008</c:v>
                </c:pt>
                <c:pt idx="11">
                  <c:v>6.27698396494843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B5-4C28-9CC3-EFCF9B274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467152"/>
        <c:axId val="909978480"/>
      </c:scatterChart>
      <c:valAx>
        <c:axId val="9684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78480"/>
        <c:crosses val="autoZero"/>
        <c:crossBetween val="midCat"/>
      </c:valAx>
      <c:valAx>
        <c:axId val="9099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6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xVal>
          <c:yVal>
            <c:numRef>
              <c:f>Sheet1!$K$2:$K$13</c:f>
              <c:numCache>
                <c:formatCode>0.00</c:formatCode>
                <c:ptCount val="12"/>
                <c:pt idx="0">
                  <c:v>0.82410000000000005</c:v>
                </c:pt>
                <c:pt idx="1">
                  <c:v>0.62909999999999999</c:v>
                </c:pt>
                <c:pt idx="2">
                  <c:v>0.48410000000000009</c:v>
                </c:pt>
                <c:pt idx="3">
                  <c:v>0.3891</c:v>
                </c:pt>
                <c:pt idx="4">
                  <c:v>0.34410000000000007</c:v>
                </c:pt>
                <c:pt idx="5">
                  <c:v>0.34909999999999997</c:v>
                </c:pt>
                <c:pt idx="6">
                  <c:v>0.40410000000000001</c:v>
                </c:pt>
                <c:pt idx="7">
                  <c:v>0.50910000000000011</c:v>
                </c:pt>
                <c:pt idx="8">
                  <c:v>0.66410000000000013</c:v>
                </c:pt>
                <c:pt idx="9">
                  <c:v>0.86910000000000021</c:v>
                </c:pt>
                <c:pt idx="10">
                  <c:v>1.1240999999999999</c:v>
                </c:pt>
                <c:pt idx="11">
                  <c:v>1.4291000000000005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E3-46DC-9B62-FBD265B2935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xVal>
          <c:yVal>
            <c:numRef>
              <c:f>Sheet1!$L$2:$L$13</c:f>
              <c:numCache>
                <c:formatCode>0.00</c:formatCode>
                <c:ptCount val="12"/>
                <c:pt idx="0">
                  <c:v>2.8098999999999998</c:v>
                </c:pt>
                <c:pt idx="1">
                  <c:v>2.7423999999999999</c:v>
                </c:pt>
                <c:pt idx="2">
                  <c:v>2.7098999999999998</c:v>
                </c:pt>
                <c:pt idx="3">
                  <c:v>2.7123999999999997</c:v>
                </c:pt>
                <c:pt idx="4">
                  <c:v>2.7498999999999998</c:v>
                </c:pt>
                <c:pt idx="5">
                  <c:v>2.8224</c:v>
                </c:pt>
                <c:pt idx="6">
                  <c:v>2.9298999999999999</c:v>
                </c:pt>
                <c:pt idx="7">
                  <c:v>3.0724</c:v>
                </c:pt>
                <c:pt idx="8">
                  <c:v>3.2498999999999998</c:v>
                </c:pt>
                <c:pt idx="9">
                  <c:v>3.4623999999999997</c:v>
                </c:pt>
                <c:pt idx="10">
                  <c:v>3.7098999999999998</c:v>
                </c:pt>
                <c:pt idx="11">
                  <c:v>3.9923999999999999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E3-46DC-9B62-FBD265B2935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xVal>
          <c:yVal>
            <c:numRef>
              <c:f>Sheet1!$M$2:$M$13</c:f>
              <c:numCache>
                <c:formatCode>0.00</c:formatCode>
                <c:ptCount val="12"/>
                <c:pt idx="0">
                  <c:v>4.7957999999999998</c:v>
                </c:pt>
                <c:pt idx="1">
                  <c:v>4.8582999999999998</c:v>
                </c:pt>
                <c:pt idx="2">
                  <c:v>4.9357999999999995</c:v>
                </c:pt>
                <c:pt idx="3">
                  <c:v>5.0282999999999998</c:v>
                </c:pt>
                <c:pt idx="4">
                  <c:v>5.1357999999999997</c:v>
                </c:pt>
                <c:pt idx="5">
                  <c:v>5.2583000000000002</c:v>
                </c:pt>
                <c:pt idx="6">
                  <c:v>5.3957999999999995</c:v>
                </c:pt>
                <c:pt idx="7">
                  <c:v>5.5482999999999993</c:v>
                </c:pt>
                <c:pt idx="8">
                  <c:v>5.7157999999999998</c:v>
                </c:pt>
                <c:pt idx="9">
                  <c:v>5.8982999999999999</c:v>
                </c:pt>
                <c:pt idx="10">
                  <c:v>6.0957999999999997</c:v>
                </c:pt>
                <c:pt idx="11">
                  <c:v>6.3083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E3-46DC-9B62-FBD265B29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467152"/>
        <c:axId val="909978480"/>
      </c:scatterChart>
      <c:valAx>
        <c:axId val="9684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78480"/>
        <c:crosses val="autoZero"/>
        <c:crossBetween val="midCat"/>
      </c:valAx>
      <c:valAx>
        <c:axId val="9099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6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</c:numCache>
            </c:numRef>
          </c:xVal>
          <c:yVal>
            <c:numRef>
              <c:f>Sheet1!$Y$2:$Y$13</c:f>
              <c:numCache>
                <c:formatCode>0.00</c:formatCode>
                <c:ptCount val="12"/>
                <c:pt idx="0">
                  <c:v>2.7</c:v>
                </c:pt>
                <c:pt idx="1">
                  <c:v>2.7</c:v>
                </c:pt>
                <c:pt idx="2">
                  <c:v>2.7098999999999998</c:v>
                </c:pt>
                <c:pt idx="3">
                  <c:v>2.7123999999999997</c:v>
                </c:pt>
                <c:pt idx="4">
                  <c:v>2.7498999999999998</c:v>
                </c:pt>
                <c:pt idx="5">
                  <c:v>2.8224</c:v>
                </c:pt>
                <c:pt idx="6">
                  <c:v>2.9298999999999999</c:v>
                </c:pt>
                <c:pt idx="7">
                  <c:v>3.0724</c:v>
                </c:pt>
                <c:pt idx="8">
                  <c:v>3.2498999999999998</c:v>
                </c:pt>
                <c:pt idx="9">
                  <c:v>3.4623999999999997</c:v>
                </c:pt>
                <c:pt idx="10">
                  <c:v>3.7098999999999998</c:v>
                </c:pt>
                <c:pt idx="11">
                  <c:v>3.9923999999999999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8F-4FE0-8AE6-2E990C1D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467152"/>
        <c:axId val="909978480"/>
      </c:scatterChart>
      <c:valAx>
        <c:axId val="9684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78480"/>
        <c:crosses val="autoZero"/>
        <c:crossBetween val="midCat"/>
      </c:valAx>
      <c:valAx>
        <c:axId val="909978480"/>
        <c:scaling>
          <c:orientation val="minMax"/>
          <c:max val="4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6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13</xdr:row>
      <xdr:rowOff>100012</xdr:rowOff>
    </xdr:from>
    <xdr:to>
      <xdr:col>7</xdr:col>
      <xdr:colOff>428625</xdr:colOff>
      <xdr:row>27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240837-DDA6-FEA7-DA36-49F777AC3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542926</xdr:colOff>
      <xdr:row>13</xdr:row>
      <xdr:rowOff>142875</xdr:rowOff>
    </xdr:from>
    <xdr:to>
      <xdr:col>13</xdr:col>
      <xdr:colOff>600076</xdr:colOff>
      <xdr:row>28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89531E-1C4E-45DA-BC06-BD27A8349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485774</xdr:colOff>
      <xdr:row>13</xdr:row>
      <xdr:rowOff>66675</xdr:rowOff>
    </xdr:from>
    <xdr:to>
      <xdr:col>30</xdr:col>
      <xdr:colOff>514349</xdr:colOff>
      <xdr:row>32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500E79-8517-4410-A184-9F599B991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BA9D-A350-43A1-A630-1F7BA3913BA3}">
  <dimension ref="A1:AK13"/>
  <sheetViews>
    <sheetView tabSelected="1" topLeftCell="T1" workbookViewId="0">
      <selection activeCell="AH30" sqref="AH30"/>
    </sheetView>
  </sheetViews>
  <sheetFormatPr defaultRowHeight="15" x14ac:dyDescent="0.25"/>
  <cols>
    <col min="15" max="15" width="5.28515625" bestFit="1" customWidth="1"/>
    <col min="16" max="16" width="8.140625" bestFit="1" customWidth="1"/>
    <col min="17" max="18" width="8.140625" customWidth="1"/>
    <col min="19" max="19" width="5.28515625" customWidth="1"/>
    <col min="26" max="27" width="8.140625" customWidth="1"/>
  </cols>
  <sheetData>
    <row r="1" spans="1:37" x14ac:dyDescent="0.25">
      <c r="T1" t="s">
        <v>0</v>
      </c>
      <c r="U1" t="s">
        <v>1</v>
      </c>
      <c r="V1" t="s">
        <v>2</v>
      </c>
      <c r="AF1" t="s">
        <v>3</v>
      </c>
      <c r="AG1" t="s">
        <v>4</v>
      </c>
      <c r="AH1" t="s">
        <v>5</v>
      </c>
    </row>
    <row r="2" spans="1:37" x14ac:dyDescent="0.25">
      <c r="A2">
        <v>0</v>
      </c>
      <c r="B2">
        <v>2.8497652582159598</v>
      </c>
      <c r="C2">
        <v>2.2088091753398</v>
      </c>
      <c r="D2">
        <v>213</v>
      </c>
      <c r="F2">
        <f>B2-C2</f>
        <v>0.64095608287615979</v>
      </c>
      <c r="G2">
        <f>B2</f>
        <v>2.8497652582159598</v>
      </c>
      <c r="H2">
        <f>B2+C2</f>
        <v>5.0585744335557603</v>
      </c>
      <c r="J2">
        <v>0</v>
      </c>
      <c r="K2" s="2">
        <f>($T$2*($J2^2))+($J2*$U$2)+$V$2</f>
        <v>0.82410000000000005</v>
      </c>
      <c r="L2" s="2">
        <f>($T$3*($J2^2))+($J2*$U$3)+$V$3</f>
        <v>2.8098999999999998</v>
      </c>
      <c r="M2" s="2">
        <f>($T$4*($J2^2))+($J2*$U$4)+$V$4</f>
        <v>4.7957999999999998</v>
      </c>
      <c r="N2" s="2"/>
      <c r="O2" s="2">
        <f>ABS(L2-K2)</f>
        <v>1.9857999999999998</v>
      </c>
      <c r="P2" s="2">
        <f>ABS(L2-M2)</f>
        <v>1.9859</v>
      </c>
      <c r="Q2" s="2"/>
      <c r="R2" s="2">
        <f>AVERAGE(O2:P2)</f>
        <v>1.9858499999999999</v>
      </c>
      <c r="S2" s="2"/>
      <c r="T2" s="1">
        <v>1.0000000000000001E-5</v>
      </c>
      <c r="U2">
        <v>-4.4000000000000003E-3</v>
      </c>
      <c r="V2">
        <v>0.82410000000000005</v>
      </c>
      <c r="X2">
        <v>0</v>
      </c>
      <c r="Y2" s="2">
        <v>2.7</v>
      </c>
      <c r="Z2" s="2">
        <v>1.9858499999999999</v>
      </c>
      <c r="AA2" s="2"/>
      <c r="AB2">
        <v>1900</v>
      </c>
      <c r="AC2">
        <v>2</v>
      </c>
      <c r="AD2">
        <v>-3</v>
      </c>
      <c r="AE2">
        <f>(AD2-Y4)/Z4</f>
        <v>-2.5652672012938882</v>
      </c>
      <c r="AF2">
        <f>MEDIAN(1,(1+0.4*AE2),2)</f>
        <v>1</v>
      </c>
      <c r="AG2">
        <v>75</v>
      </c>
      <c r="AH2">
        <f>1/(1+10^(-(AB2-AB3)/400))</f>
        <v>0.64006499980288512</v>
      </c>
      <c r="AI2">
        <v>0</v>
      </c>
      <c r="AJ2">
        <f>ROUND(AB2+(AG2*AF2*(AI2-AH2)),0)</f>
        <v>1852</v>
      </c>
      <c r="AK2">
        <f>AJ2-AB2</f>
        <v>-48</v>
      </c>
    </row>
    <row r="3" spans="1:37" x14ac:dyDescent="0.25">
      <c r="A3">
        <v>50</v>
      </c>
      <c r="B3">
        <v>2.6149068322981299</v>
      </c>
      <c r="C3">
        <v>2.0447238930411098</v>
      </c>
      <c r="D3">
        <v>322</v>
      </c>
      <c r="F3">
        <f t="shared" ref="F3:F13" si="0">B3-C3</f>
        <v>0.57018293925702013</v>
      </c>
      <c r="G3">
        <f t="shared" ref="G3:G13" si="1">B3</f>
        <v>2.6149068322981299</v>
      </c>
      <c r="H3">
        <f t="shared" ref="H3:H13" si="2">B3+C3</f>
        <v>4.6596307253392393</v>
      </c>
      <c r="J3">
        <v>50</v>
      </c>
      <c r="K3" s="2">
        <f>($T$2*($J3^2))+($J3*$U$2)+$V$2</f>
        <v>0.62909999999999999</v>
      </c>
      <c r="L3" s="2">
        <f t="shared" ref="L3:L13" si="3">($T$3*($J3^2))+($J3*$U$3)+$V$3</f>
        <v>2.7423999999999999</v>
      </c>
      <c r="M3" s="2">
        <f t="shared" ref="M3:M13" si="4">($T$4*($J3^2))+($J3*$U$4)+$V$4</f>
        <v>4.8582999999999998</v>
      </c>
      <c r="N3" s="2"/>
      <c r="O3" s="2">
        <f t="shared" ref="O3:O13" si="5">ABS(L3-K3)</f>
        <v>2.1132999999999997</v>
      </c>
      <c r="P3" s="2">
        <f t="shared" ref="P3:P13" si="6">ABS(L3-M3)</f>
        <v>2.1158999999999999</v>
      </c>
      <c r="Q3" s="2"/>
      <c r="R3" s="2">
        <f t="shared" ref="R3:R13" si="7">AVERAGE(O3:P3)</f>
        <v>2.1145999999999998</v>
      </c>
      <c r="S3" s="2"/>
      <c r="T3" s="1">
        <v>6.9999999999999999E-6</v>
      </c>
      <c r="U3">
        <v>-1.6999999999999999E-3</v>
      </c>
      <c r="V3">
        <v>2.8098999999999998</v>
      </c>
      <c r="X3">
        <v>50</v>
      </c>
      <c r="Y3" s="2">
        <v>2.7</v>
      </c>
      <c r="Z3" s="2">
        <v>2.1145999999999998</v>
      </c>
      <c r="AA3" s="2"/>
      <c r="AB3">
        <v>1800</v>
      </c>
      <c r="AC3">
        <v>5</v>
      </c>
      <c r="AD3" s="3">
        <v>3</v>
      </c>
      <c r="AE3">
        <f>(AD3+Y4)/Z4</f>
        <v>2.5652672012938882</v>
      </c>
      <c r="AF3">
        <f>MEDIAN(1,(1+0.4*AE3),2)</f>
        <v>2</v>
      </c>
      <c r="AG3">
        <v>75</v>
      </c>
      <c r="AH3">
        <f>1/(1+10^(-(AB3-AB2)/400))</f>
        <v>0.35993500019711488</v>
      </c>
      <c r="AI3">
        <v>1</v>
      </c>
      <c r="AJ3">
        <f>ROUND(AB3+(AG3*AF3*(AI3-AH3)),0)</f>
        <v>1896</v>
      </c>
      <c r="AK3">
        <f>AJ3-AB3</f>
        <v>96</v>
      </c>
    </row>
    <row r="4" spans="1:37" x14ac:dyDescent="0.25">
      <c r="A4">
        <v>100</v>
      </c>
      <c r="B4">
        <v>2.7982708933717499</v>
      </c>
      <c r="C4">
        <v>2.2081059486599002</v>
      </c>
      <c r="D4">
        <v>347</v>
      </c>
      <c r="F4">
        <f t="shared" si="0"/>
        <v>0.59016494471184977</v>
      </c>
      <c r="G4">
        <f t="shared" si="1"/>
        <v>2.7982708933717499</v>
      </c>
      <c r="H4">
        <f t="shared" si="2"/>
        <v>5.0063768420316501</v>
      </c>
      <c r="J4">
        <v>100</v>
      </c>
      <c r="K4" s="2">
        <f>($T$2*($J4^2))+($J4*$U$2)+$V$2</f>
        <v>0.48410000000000009</v>
      </c>
      <c r="L4" s="2">
        <f t="shared" si="3"/>
        <v>2.7098999999999998</v>
      </c>
      <c r="M4" s="2">
        <f t="shared" si="4"/>
        <v>4.9357999999999995</v>
      </c>
      <c r="N4" s="2"/>
      <c r="O4" s="2">
        <f t="shared" si="5"/>
        <v>2.2257999999999996</v>
      </c>
      <c r="P4" s="2">
        <f t="shared" si="6"/>
        <v>2.2258999999999998</v>
      </c>
      <c r="Q4" s="2"/>
      <c r="R4" s="2">
        <f t="shared" si="7"/>
        <v>2.2258499999999994</v>
      </c>
      <c r="S4" s="2"/>
      <c r="T4" s="1">
        <v>3.0000000000000001E-6</v>
      </c>
      <c r="U4">
        <v>1.1000000000000001E-3</v>
      </c>
      <c r="V4">
        <v>4.7957999999999998</v>
      </c>
      <c r="X4">
        <v>100</v>
      </c>
      <c r="Y4" s="2">
        <f t="shared" ref="Y3:Y13" si="8">($T$3*($J4^2))+($J4*$U$3)+$V$3</f>
        <v>2.7098999999999998</v>
      </c>
      <c r="Z4" s="2">
        <v>2.2258499999999994</v>
      </c>
      <c r="AA4" s="2"/>
    </row>
    <row r="5" spans="1:37" x14ac:dyDescent="0.25">
      <c r="A5">
        <v>150</v>
      </c>
      <c r="B5">
        <v>2.7191011235954998</v>
      </c>
      <c r="C5">
        <v>2.2318200901657899</v>
      </c>
      <c r="D5">
        <v>267</v>
      </c>
      <c r="F5">
        <f t="shared" si="0"/>
        <v>0.48728103342970996</v>
      </c>
      <c r="G5">
        <f t="shared" si="1"/>
        <v>2.7191011235954998</v>
      </c>
      <c r="H5">
        <f t="shared" si="2"/>
        <v>4.9509212137612897</v>
      </c>
      <c r="J5">
        <v>150</v>
      </c>
      <c r="K5" s="2">
        <f>($T$2*($J5^2))+($J5*$U$2)+$V$2</f>
        <v>0.3891</v>
      </c>
      <c r="L5" s="2">
        <f t="shared" si="3"/>
        <v>2.7123999999999997</v>
      </c>
      <c r="M5" s="2">
        <f t="shared" si="4"/>
        <v>5.0282999999999998</v>
      </c>
      <c r="N5" s="2"/>
      <c r="O5" s="2">
        <f t="shared" si="5"/>
        <v>2.3232999999999997</v>
      </c>
      <c r="P5" s="2">
        <f t="shared" si="6"/>
        <v>2.3159000000000001</v>
      </c>
      <c r="Q5" s="2"/>
      <c r="R5" s="2">
        <f t="shared" si="7"/>
        <v>2.3195999999999999</v>
      </c>
      <c r="S5" s="2"/>
      <c r="X5">
        <v>150</v>
      </c>
      <c r="Y5" s="2">
        <f t="shared" si="8"/>
        <v>2.7123999999999997</v>
      </c>
      <c r="Z5" s="2">
        <v>2.3195999999999999</v>
      </c>
      <c r="AA5" s="2"/>
    </row>
    <row r="6" spans="1:37" x14ac:dyDescent="0.25">
      <c r="A6">
        <v>200</v>
      </c>
      <c r="B6">
        <v>2.8728813559322002</v>
      </c>
      <c r="C6">
        <v>2.1825448144951101</v>
      </c>
      <c r="D6">
        <v>236</v>
      </c>
      <c r="F6">
        <f t="shared" si="0"/>
        <v>0.69033654143709011</v>
      </c>
      <c r="G6">
        <f t="shared" si="1"/>
        <v>2.8728813559322002</v>
      </c>
      <c r="H6">
        <f t="shared" si="2"/>
        <v>5.0554261704273102</v>
      </c>
      <c r="J6">
        <v>200</v>
      </c>
      <c r="K6" s="2">
        <f>($T$2*($J6^2))+($J6*$U$2)+$V$2</f>
        <v>0.34410000000000007</v>
      </c>
      <c r="L6" s="2">
        <f t="shared" si="3"/>
        <v>2.7498999999999998</v>
      </c>
      <c r="M6" s="2">
        <f t="shared" si="4"/>
        <v>5.1357999999999997</v>
      </c>
      <c r="N6" s="2"/>
      <c r="O6" s="2">
        <f t="shared" si="5"/>
        <v>2.4057999999999997</v>
      </c>
      <c r="P6" s="2">
        <f t="shared" si="6"/>
        <v>2.3858999999999999</v>
      </c>
      <c r="Q6" s="2"/>
      <c r="R6" s="2">
        <f t="shared" si="7"/>
        <v>2.3958499999999998</v>
      </c>
      <c r="S6" s="2"/>
      <c r="X6">
        <v>200</v>
      </c>
      <c r="Y6" s="2">
        <f t="shared" si="8"/>
        <v>2.7498999999999998</v>
      </c>
      <c r="Z6" s="2">
        <v>2.3958499999999998</v>
      </c>
      <c r="AA6" s="2"/>
    </row>
    <row r="7" spans="1:37" x14ac:dyDescent="0.25">
      <c r="A7">
        <v>250</v>
      </c>
      <c r="B7">
        <v>2.5151515151515098</v>
      </c>
      <c r="C7">
        <v>2.17313085301274</v>
      </c>
      <c r="D7">
        <v>165</v>
      </c>
      <c r="F7">
        <f t="shared" si="0"/>
        <v>0.3420206621387698</v>
      </c>
      <c r="G7">
        <f t="shared" si="1"/>
        <v>2.5151515151515098</v>
      </c>
      <c r="H7">
        <f t="shared" si="2"/>
        <v>4.6882823681642503</v>
      </c>
      <c r="J7">
        <v>250</v>
      </c>
      <c r="K7" s="2">
        <f>($T$2*($J7^2))+($J7*$U$2)+$V$2</f>
        <v>0.34909999999999997</v>
      </c>
      <c r="L7" s="2">
        <f t="shared" si="3"/>
        <v>2.8224</v>
      </c>
      <c r="M7" s="2">
        <f t="shared" si="4"/>
        <v>5.2583000000000002</v>
      </c>
      <c r="N7" s="2"/>
      <c r="O7" s="2">
        <f t="shared" si="5"/>
        <v>2.4733000000000001</v>
      </c>
      <c r="P7" s="2">
        <f t="shared" si="6"/>
        <v>2.4359000000000002</v>
      </c>
      <c r="Q7" s="2"/>
      <c r="R7" s="2">
        <f t="shared" si="7"/>
        <v>2.4546000000000001</v>
      </c>
      <c r="S7" s="2"/>
      <c r="X7">
        <v>250</v>
      </c>
      <c r="Y7" s="2">
        <f t="shared" si="8"/>
        <v>2.8224</v>
      </c>
      <c r="Z7" s="2">
        <v>2.4546000000000001</v>
      </c>
      <c r="AA7" s="2"/>
    </row>
    <row r="8" spans="1:37" x14ac:dyDescent="0.25">
      <c r="A8">
        <v>300</v>
      </c>
      <c r="B8">
        <v>2.9565217391304301</v>
      </c>
      <c r="C8">
        <v>2.3555963742782602</v>
      </c>
      <c r="D8">
        <v>138</v>
      </c>
      <c r="F8">
        <f t="shared" si="0"/>
        <v>0.60092536485216996</v>
      </c>
      <c r="G8">
        <f t="shared" si="1"/>
        <v>2.9565217391304301</v>
      </c>
      <c r="H8">
        <f t="shared" si="2"/>
        <v>5.3121181134086903</v>
      </c>
      <c r="J8">
        <v>300</v>
      </c>
      <c r="K8" s="2">
        <f>($T$2*($J8^2))+($J8*$U$2)+$V$2</f>
        <v>0.40410000000000001</v>
      </c>
      <c r="L8" s="2">
        <f t="shared" si="3"/>
        <v>2.9298999999999999</v>
      </c>
      <c r="M8" s="2">
        <f t="shared" si="4"/>
        <v>5.3957999999999995</v>
      </c>
      <c r="N8" s="2"/>
      <c r="O8" s="2">
        <f t="shared" si="5"/>
        <v>2.5257999999999998</v>
      </c>
      <c r="P8" s="2">
        <f t="shared" si="6"/>
        <v>2.4658999999999995</v>
      </c>
      <c r="Q8" s="2"/>
      <c r="R8" s="2">
        <f t="shared" si="7"/>
        <v>2.4958499999999999</v>
      </c>
      <c r="S8" s="2"/>
      <c r="X8">
        <v>300</v>
      </c>
      <c r="Y8" s="2">
        <f t="shared" si="8"/>
        <v>2.9298999999999999</v>
      </c>
      <c r="Z8" s="2">
        <v>2.4958499999999999</v>
      </c>
      <c r="AA8" s="2"/>
    </row>
    <row r="9" spans="1:37" x14ac:dyDescent="0.25">
      <c r="A9">
        <v>350</v>
      </c>
      <c r="B9">
        <v>3.4805194805194799</v>
      </c>
      <c r="C9">
        <v>2.6216401608034201</v>
      </c>
      <c r="D9">
        <v>77</v>
      </c>
      <c r="F9">
        <f t="shared" si="0"/>
        <v>0.8588793197160598</v>
      </c>
      <c r="G9">
        <f t="shared" si="1"/>
        <v>3.4805194805194799</v>
      </c>
      <c r="H9">
        <f t="shared" si="2"/>
        <v>6.1021596413229</v>
      </c>
      <c r="J9">
        <v>350</v>
      </c>
      <c r="K9" s="2">
        <f>($T$2*($J9^2))+($J9*$U$2)+$V$2</f>
        <v>0.50910000000000011</v>
      </c>
      <c r="L9" s="2">
        <f t="shared" si="3"/>
        <v>3.0724</v>
      </c>
      <c r="M9" s="2">
        <f t="shared" si="4"/>
        <v>5.5482999999999993</v>
      </c>
      <c r="N9" s="2"/>
      <c r="O9" s="2">
        <f t="shared" si="5"/>
        <v>2.5632999999999999</v>
      </c>
      <c r="P9" s="2">
        <f t="shared" si="6"/>
        <v>2.4758999999999993</v>
      </c>
      <c r="Q9" s="2"/>
      <c r="R9" s="2">
        <f t="shared" si="7"/>
        <v>2.5195999999999996</v>
      </c>
      <c r="S9" s="2"/>
      <c r="X9">
        <v>350</v>
      </c>
      <c r="Y9" s="2">
        <f t="shared" si="8"/>
        <v>3.0724</v>
      </c>
      <c r="Z9" s="2">
        <v>2.5195999999999996</v>
      </c>
      <c r="AA9" s="2"/>
    </row>
    <row r="10" spans="1:37" x14ac:dyDescent="0.25">
      <c r="A10">
        <v>400</v>
      </c>
      <c r="B10">
        <v>3.44827586206896</v>
      </c>
      <c r="C10">
        <v>3.0181771947770901</v>
      </c>
      <c r="D10">
        <v>58</v>
      </c>
      <c r="F10">
        <f t="shared" si="0"/>
        <v>0.43009866729186985</v>
      </c>
      <c r="G10">
        <f t="shared" si="1"/>
        <v>3.44827586206896</v>
      </c>
      <c r="H10">
        <f t="shared" si="2"/>
        <v>6.4664530568460501</v>
      </c>
      <c r="J10">
        <v>400</v>
      </c>
      <c r="K10" s="2">
        <f>($T$2*($J10^2))+($J10*$U$2)+$V$2</f>
        <v>0.66410000000000013</v>
      </c>
      <c r="L10" s="2">
        <f t="shared" si="3"/>
        <v>3.2498999999999998</v>
      </c>
      <c r="M10" s="2">
        <f t="shared" si="4"/>
        <v>5.7157999999999998</v>
      </c>
      <c r="N10" s="2"/>
      <c r="O10" s="2">
        <f t="shared" si="5"/>
        <v>2.5857999999999999</v>
      </c>
      <c r="P10" s="2">
        <f t="shared" si="6"/>
        <v>2.4659</v>
      </c>
      <c r="Q10" s="2"/>
      <c r="R10" s="2">
        <f t="shared" si="7"/>
        <v>2.5258500000000002</v>
      </c>
      <c r="S10" s="2"/>
      <c r="X10">
        <v>400</v>
      </c>
      <c r="Y10" s="2">
        <f t="shared" si="8"/>
        <v>3.2498999999999998</v>
      </c>
      <c r="Z10" s="2">
        <v>2.5258500000000002</v>
      </c>
      <c r="AA10" s="2"/>
    </row>
    <row r="11" spans="1:37" x14ac:dyDescent="0.25">
      <c r="A11">
        <v>450</v>
      </c>
      <c r="B11">
        <v>3.1212121212121202</v>
      </c>
      <c r="C11">
        <v>2.4340709852149298</v>
      </c>
      <c r="D11">
        <v>33</v>
      </c>
      <c r="F11">
        <f t="shared" si="0"/>
        <v>0.6871411359971904</v>
      </c>
      <c r="G11">
        <f t="shared" si="1"/>
        <v>3.1212121212121202</v>
      </c>
      <c r="H11">
        <f t="shared" si="2"/>
        <v>5.5552831064270496</v>
      </c>
      <c r="J11">
        <v>450</v>
      </c>
      <c r="K11" s="2">
        <f>($T$2*($J11^2))+($J11*$U$2)+$V$2</f>
        <v>0.86910000000000021</v>
      </c>
      <c r="L11" s="2">
        <f t="shared" si="3"/>
        <v>3.4623999999999997</v>
      </c>
      <c r="M11" s="2">
        <f t="shared" si="4"/>
        <v>5.8982999999999999</v>
      </c>
      <c r="N11" s="2"/>
      <c r="O11" s="2">
        <f t="shared" si="5"/>
        <v>2.5932999999999993</v>
      </c>
      <c r="P11" s="2">
        <f t="shared" si="6"/>
        <v>2.4359000000000002</v>
      </c>
      <c r="Q11" s="2"/>
      <c r="R11" s="2">
        <f t="shared" si="7"/>
        <v>2.5145999999999997</v>
      </c>
      <c r="S11" s="2"/>
      <c r="X11">
        <v>450</v>
      </c>
      <c r="Y11" s="2">
        <f t="shared" si="8"/>
        <v>3.4623999999999997</v>
      </c>
      <c r="Z11" s="2">
        <v>2.5145999999999997</v>
      </c>
      <c r="AA11" s="2"/>
    </row>
    <row r="12" spans="1:37" x14ac:dyDescent="0.25">
      <c r="A12">
        <v>500</v>
      </c>
      <c r="B12">
        <v>3.4117647058823501</v>
      </c>
      <c r="C12">
        <v>2.5681035238756502</v>
      </c>
      <c r="D12">
        <v>17</v>
      </c>
      <c r="F12">
        <f t="shared" si="0"/>
        <v>0.84366118200669993</v>
      </c>
      <c r="G12">
        <f t="shared" si="1"/>
        <v>3.4117647058823501</v>
      </c>
      <c r="H12">
        <f t="shared" si="2"/>
        <v>5.9798682297580008</v>
      </c>
      <c r="J12">
        <v>500</v>
      </c>
      <c r="K12" s="2">
        <f>($T$2*($J12^2))+($J12*$U$2)+$V$2</f>
        <v>1.1240999999999999</v>
      </c>
      <c r="L12" s="2">
        <f t="shared" si="3"/>
        <v>3.7098999999999998</v>
      </c>
      <c r="M12" s="2">
        <f t="shared" si="4"/>
        <v>6.0957999999999997</v>
      </c>
      <c r="N12" s="2"/>
      <c r="O12" s="2">
        <f t="shared" si="5"/>
        <v>2.5857999999999999</v>
      </c>
      <c r="P12" s="2">
        <f t="shared" si="6"/>
        <v>2.3858999999999999</v>
      </c>
      <c r="Q12" s="2"/>
      <c r="R12" s="2">
        <f t="shared" si="7"/>
        <v>2.4858500000000001</v>
      </c>
      <c r="S12" s="2"/>
      <c r="X12">
        <v>500</v>
      </c>
      <c r="Y12" s="2">
        <f t="shared" si="8"/>
        <v>3.7098999999999998</v>
      </c>
      <c r="Z12" s="2">
        <v>2.4858500000000001</v>
      </c>
      <c r="AA12" s="2"/>
    </row>
    <row r="13" spans="1:37" x14ac:dyDescent="0.25">
      <c r="A13">
        <v>550</v>
      </c>
      <c r="B13">
        <v>4.3333333333333304</v>
      </c>
      <c r="C13">
        <v>1.9436506316151001</v>
      </c>
      <c r="D13">
        <v>9</v>
      </c>
      <c r="F13">
        <f t="shared" si="0"/>
        <v>2.3896827017182303</v>
      </c>
      <c r="G13">
        <f t="shared" si="1"/>
        <v>4.3333333333333304</v>
      </c>
      <c r="H13">
        <f t="shared" si="2"/>
        <v>6.27698396494843</v>
      </c>
      <c r="J13">
        <v>550</v>
      </c>
      <c r="K13" s="2">
        <f>($T$2*($J13^2))+($J13*$U$2)+$V$2</f>
        <v>1.4291000000000005</v>
      </c>
      <c r="L13" s="2">
        <f t="shared" si="3"/>
        <v>3.9923999999999999</v>
      </c>
      <c r="M13" s="2">
        <f t="shared" si="4"/>
        <v>6.3083</v>
      </c>
      <c r="N13" s="2"/>
      <c r="O13" s="2">
        <f t="shared" si="5"/>
        <v>2.5632999999999995</v>
      </c>
      <c r="P13" s="2">
        <f t="shared" si="6"/>
        <v>2.3159000000000001</v>
      </c>
      <c r="Q13" s="2"/>
      <c r="R13" s="2">
        <f t="shared" si="7"/>
        <v>2.4395999999999995</v>
      </c>
      <c r="S13" s="2"/>
      <c r="X13">
        <v>550</v>
      </c>
      <c r="Y13" s="2">
        <f t="shared" si="8"/>
        <v>3.9923999999999999</v>
      </c>
      <c r="Z13" s="2">
        <v>2.4395999999999995</v>
      </c>
      <c r="AA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Weimann, Daniel</dc:creator>
  <cp:lastModifiedBy>Weimann, Daniel</cp:lastModifiedBy>
  <dcterms:created xsi:type="dcterms:W3CDTF">2026-09-24T18:59:08Z</dcterms:created>
  <dcterms:modified xsi:type="dcterms:W3CDTF">2026-09-24T23:21:15Z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2026-09-24T19:21:52Z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0ce04b8e-2697-4929-a90d-58639df9e250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