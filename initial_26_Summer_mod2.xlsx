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mannd\Documents\VSCode_Local\ELO-main\"/>
    </mc:Choice>
  </mc:AlternateContent>
  <xr:revisionPtr revIDLastSave="0" documentId="8_{803F4AF5-FBFE-481D-ACD5-902AC1AFE819}" xr6:coauthVersionLast="47" xr6:coauthVersionMax="47" xr10:uidLastSave="{00000000-0000-0000-0000-000000000000}"/>
  <bookViews>
    <workbookView xWindow="30420" yWindow="24540" windowWidth="16575" windowHeight="12585" xr2:uid="{FB22F9A6-9212-4FA4-9C6C-9674B77F5971}"/>
  </bookViews>
  <sheets>
    <sheet name="initial_26_Summ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I2" i="1" s="1"/>
  <c r="E28" i="1" l="1"/>
  <c r="E58" i="1"/>
  <c r="E55" i="1"/>
  <c r="E85" i="1"/>
  <c r="E52" i="1"/>
  <c r="E18" i="1"/>
  <c r="E9" i="1"/>
  <c r="E45" i="1"/>
  <c r="E44" i="1"/>
  <c r="E43" i="1"/>
  <c r="E41" i="1"/>
  <c r="E104" i="1"/>
  <c r="E72" i="1"/>
  <c r="E8" i="1"/>
  <c r="E66" i="1"/>
  <c r="E30" i="1"/>
  <c r="E60" i="1"/>
  <c r="E38" i="1"/>
  <c r="E6" i="1"/>
  <c r="F6" i="1" s="1"/>
  <c r="E23" i="1"/>
  <c r="E21" i="1"/>
  <c r="E51" i="1"/>
  <c r="E113" i="1"/>
  <c r="E16" i="1"/>
  <c r="E5" i="1"/>
  <c r="E2" i="1"/>
  <c r="E63" i="1"/>
  <c r="E59" i="1"/>
  <c r="E53" i="1"/>
  <c r="E82" i="1"/>
  <c r="E49" i="1"/>
  <c r="E110" i="1"/>
  <c r="E76" i="1"/>
  <c r="E3" i="1"/>
  <c r="F3" i="1"/>
  <c r="F2" i="1"/>
  <c r="F5" i="1"/>
  <c r="I16" i="1"/>
  <c r="E86" i="1" s="1"/>
  <c r="I23" i="1"/>
  <c r="E130" i="1" s="1"/>
  <c r="I21" i="1"/>
  <c r="E120" i="1" s="1"/>
  <c r="I19" i="1"/>
  <c r="E108" i="1" s="1"/>
  <c r="I17" i="1"/>
  <c r="E97" i="1" s="1"/>
  <c r="I14" i="1"/>
  <c r="E73" i="1" s="1"/>
  <c r="I12" i="1"/>
  <c r="E56" i="1" s="1"/>
  <c r="I10" i="1"/>
  <c r="E48" i="1" s="1"/>
  <c r="I8" i="1"/>
  <c r="E32" i="1" s="1"/>
  <c r="I6" i="1"/>
  <c r="E26" i="1" s="1"/>
  <c r="I3" i="1"/>
  <c r="E4" i="1" s="1"/>
  <c r="F4" i="1" s="1"/>
  <c r="I24" i="1"/>
  <c r="E139" i="1" s="1"/>
  <c r="I22" i="1"/>
  <c r="E127" i="1" s="1"/>
  <c r="I20" i="1"/>
  <c r="E115" i="1" s="1"/>
  <c r="I18" i="1"/>
  <c r="E107" i="1" s="1"/>
  <c r="I15" i="1"/>
  <c r="E88" i="1" s="1"/>
  <c r="I13" i="1"/>
  <c r="E75" i="1" s="1"/>
  <c r="I11" i="1"/>
  <c r="E65" i="1" s="1"/>
  <c r="I9" i="1"/>
  <c r="E42" i="1" s="1"/>
  <c r="I7" i="1"/>
  <c r="E37" i="1" s="1"/>
  <c r="I5" i="1"/>
  <c r="E34" i="1" s="1"/>
  <c r="I4" i="1"/>
  <c r="E19" i="1" s="1"/>
  <c r="E50" i="1" l="1"/>
  <c r="E117" i="1"/>
  <c r="E70" i="1"/>
  <c r="E118" i="1"/>
  <c r="E74" i="1"/>
  <c r="E138" i="1"/>
  <c r="E22" i="1"/>
  <c r="E94" i="1"/>
  <c r="E40" i="1"/>
  <c r="E128" i="1"/>
  <c r="E121" i="1"/>
  <c r="E33" i="1"/>
  <c r="F33" i="1" s="1"/>
  <c r="E137" i="1"/>
  <c r="E78" i="1"/>
  <c r="F78" i="1" s="1"/>
  <c r="E103" i="1"/>
  <c r="E114" i="1"/>
  <c r="F114" i="1" s="1"/>
  <c r="E84" i="1"/>
  <c r="E13" i="1"/>
  <c r="F13" i="1" s="1"/>
  <c r="E87" i="1"/>
  <c r="F87" i="1" s="1"/>
  <c r="E64" i="1"/>
  <c r="E15" i="1"/>
  <c r="F15" i="1" s="1"/>
  <c r="E20" i="1"/>
  <c r="F20" i="1" s="1"/>
  <c r="E100" i="1"/>
  <c r="F100" i="1" s="1"/>
  <c r="E17" i="1"/>
  <c r="E105" i="1"/>
  <c r="F105" i="1" s="1"/>
  <c r="E35" i="1"/>
  <c r="F35" i="1" s="1"/>
  <c r="E69" i="1"/>
  <c r="F69" i="1" s="1"/>
  <c r="E47" i="1"/>
  <c r="F47" i="1" s="1"/>
  <c r="E57" i="1"/>
  <c r="F57" i="1" s="1"/>
  <c r="E98" i="1"/>
  <c r="F98" i="1" s="1"/>
  <c r="E7" i="1"/>
  <c r="F7" i="1" s="1"/>
  <c r="E39" i="1"/>
  <c r="F39" i="1" s="1"/>
  <c r="E90" i="1"/>
  <c r="E93" i="1"/>
  <c r="E12" i="1"/>
  <c r="E67" i="1"/>
  <c r="E101" i="1"/>
  <c r="E80" i="1"/>
  <c r="E122" i="1"/>
  <c r="E11" i="1"/>
  <c r="E77" i="1"/>
  <c r="E111" i="1"/>
  <c r="F111" i="1" s="1"/>
  <c r="E62" i="1"/>
  <c r="E24" i="1"/>
  <c r="E136" i="1"/>
  <c r="E124" i="1"/>
  <c r="F124" i="1" s="1"/>
  <c r="E79" i="1"/>
  <c r="F79" i="1" s="1"/>
  <c r="E123" i="1"/>
  <c r="F123" i="1" s="1"/>
  <c r="E99" i="1"/>
  <c r="E133" i="1"/>
  <c r="F133" i="1" s="1"/>
  <c r="E81" i="1"/>
  <c r="F81" i="1" s="1"/>
  <c r="E91" i="1"/>
  <c r="E89" i="1"/>
  <c r="E131" i="1"/>
  <c r="F131" i="1" s="1"/>
  <c r="E71" i="1"/>
  <c r="F71" i="1" s="1"/>
  <c r="E29" i="1"/>
  <c r="F29" i="1" s="1"/>
  <c r="E92" i="1"/>
  <c r="E109" i="1"/>
  <c r="F109" i="1" s="1"/>
  <c r="E96" i="1"/>
  <c r="E36" i="1"/>
  <c r="F36" i="1" s="1"/>
  <c r="E135" i="1"/>
  <c r="F135" i="1" s="1"/>
  <c r="E116" i="1"/>
  <c r="F116" i="1" s="1"/>
  <c r="E95" i="1"/>
  <c r="F95" i="1" s="1"/>
  <c r="E31" i="1"/>
  <c r="F31" i="1" s="1"/>
  <c r="E25" i="1"/>
  <c r="E27" i="1"/>
  <c r="E61" i="1"/>
  <c r="E126" i="1"/>
  <c r="E46" i="1"/>
  <c r="E125" i="1"/>
  <c r="E134" i="1"/>
  <c r="E68" i="1"/>
  <c r="E54" i="1"/>
  <c r="E102" i="1"/>
  <c r="E132" i="1"/>
  <c r="F132" i="1" s="1"/>
  <c r="E106" i="1"/>
  <c r="F106" i="1" s="1"/>
  <c r="E119" i="1"/>
  <c r="E83" i="1"/>
  <c r="E10" i="1"/>
  <c r="F10" i="1" s="1"/>
  <c r="E112" i="1"/>
  <c r="F112" i="1" s="1"/>
  <c r="E129" i="1"/>
  <c r="F129" i="1" s="1"/>
  <c r="E14" i="1"/>
  <c r="F14" i="1" s="1"/>
  <c r="F134" i="1"/>
  <c r="F136" i="1"/>
  <c r="F21" i="1"/>
  <c r="F24" i="1"/>
  <c r="F137" i="1"/>
  <c r="F138" i="1"/>
  <c r="F22" i="1"/>
  <c r="F25" i="1"/>
  <c r="F139" i="1"/>
  <c r="F23" i="1"/>
  <c r="F17" i="1"/>
  <c r="F19" i="1"/>
  <c r="F18" i="1"/>
  <c r="F16" i="1"/>
  <c r="F37" i="1"/>
  <c r="F32" i="1"/>
  <c r="F34" i="1"/>
  <c r="F59" i="1"/>
  <c r="F58" i="1"/>
  <c r="F60" i="1"/>
  <c r="F61" i="1"/>
  <c r="F56" i="1"/>
  <c r="F82" i="1"/>
  <c r="F83" i="1"/>
  <c r="F80" i="1"/>
  <c r="F84" i="1"/>
  <c r="F85" i="1"/>
  <c r="F102" i="1"/>
  <c r="F99" i="1"/>
  <c r="F101" i="1"/>
  <c r="F103" i="1"/>
  <c r="F48" i="1"/>
  <c r="F44" i="1"/>
  <c r="F49" i="1"/>
  <c r="F45" i="1"/>
  <c r="F46" i="1"/>
  <c r="F113" i="1"/>
  <c r="F110" i="1"/>
  <c r="F115" i="1"/>
  <c r="F126" i="1"/>
  <c r="F125" i="1"/>
  <c r="F127" i="1"/>
  <c r="F122" i="1"/>
  <c r="F42" i="1"/>
  <c r="F41" i="1"/>
  <c r="F38" i="1"/>
  <c r="F40" i="1"/>
  <c r="F43" i="1"/>
  <c r="F27" i="1"/>
  <c r="F30" i="1"/>
  <c r="F26" i="1"/>
  <c r="F28" i="1"/>
  <c r="F92" i="1"/>
  <c r="F97" i="1"/>
  <c r="F94" i="1"/>
  <c r="F93" i="1"/>
  <c r="F96" i="1"/>
  <c r="F108" i="1"/>
  <c r="F107" i="1"/>
  <c r="F104" i="1"/>
  <c r="F8" i="1"/>
  <c r="F11" i="1"/>
  <c r="F9" i="1"/>
  <c r="F12" i="1"/>
  <c r="F55" i="1"/>
  <c r="F51" i="1"/>
  <c r="F52" i="1"/>
  <c r="F53" i="1"/>
  <c r="F54" i="1"/>
  <c r="F50" i="1"/>
  <c r="F86" i="1"/>
  <c r="F88" i="1"/>
  <c r="F90" i="1"/>
  <c r="F89" i="1"/>
  <c r="F91" i="1"/>
  <c r="F64" i="1"/>
  <c r="F66" i="1"/>
  <c r="F65" i="1"/>
  <c r="F63" i="1"/>
  <c r="F67" i="1"/>
  <c r="F62" i="1"/>
  <c r="F74" i="1"/>
  <c r="F77" i="1"/>
  <c r="F76" i="1"/>
  <c r="F75" i="1"/>
  <c r="F128" i="1"/>
  <c r="F130" i="1"/>
  <c r="F73" i="1"/>
  <c r="F70" i="1"/>
  <c r="F68" i="1"/>
  <c r="F72" i="1"/>
  <c r="F117" i="1"/>
  <c r="F119" i="1"/>
  <c r="F121" i="1"/>
  <c r="F118" i="1"/>
  <c r="F1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<sst xmlns="http://schemas.openxmlformats.org/spreadsheetml/2006/main" count="266" uniqueCount="163">
  <si>
    <t>Ranking</t>
  </si>
  <si>
    <t>Team</t>
  </si>
  <si>
    <t>Div</t>
  </si>
  <si>
    <t>ELO</t>
  </si>
  <si>
    <t>Alpuckas</t>
  </si>
  <si>
    <t>5D</t>
  </si>
  <si>
    <t>Amigos</t>
  </si>
  <si>
    <t>5A</t>
  </si>
  <si>
    <t>ALTP</t>
  </si>
  <si>
    <t>Banana Guardians</t>
  </si>
  <si>
    <t>10A</t>
  </si>
  <si>
    <t>7B</t>
  </si>
  <si>
    <t>3A</t>
  </si>
  <si>
    <t>Barrel Aged Brewzers</t>
  </si>
  <si>
    <t>6D</t>
  </si>
  <si>
    <t>Beer Dragons</t>
  </si>
  <si>
    <t>9B</t>
  </si>
  <si>
    <t>Birrds</t>
  </si>
  <si>
    <t>Black Katz</t>
  </si>
  <si>
    <t>Blackbirds</t>
  </si>
  <si>
    <t>9A</t>
  </si>
  <si>
    <t>Blackouts</t>
  </si>
  <si>
    <t>8A</t>
  </si>
  <si>
    <t>Blades</t>
  </si>
  <si>
    <t>BLU Bombers</t>
  </si>
  <si>
    <t>3B</t>
  </si>
  <si>
    <t>Boozin Cougs</t>
  </si>
  <si>
    <t>Brewzers OGB</t>
  </si>
  <si>
    <t>6A</t>
  </si>
  <si>
    <t>BSOD</t>
  </si>
  <si>
    <t>4C</t>
  </si>
  <si>
    <t>Buck Wild</t>
  </si>
  <si>
    <t>4B</t>
  </si>
  <si>
    <t>5C</t>
  </si>
  <si>
    <t>7A</t>
  </si>
  <si>
    <t>Chiefs</t>
  </si>
  <si>
    <t>Chinooks</t>
  </si>
  <si>
    <t>4A</t>
  </si>
  <si>
    <t>Chucklepucks</t>
  </si>
  <si>
    <t>Coconut Corgis</t>
  </si>
  <si>
    <t>6C</t>
  </si>
  <si>
    <t>Dead Rabbits</t>
  </si>
  <si>
    <t>DevilFish</t>
  </si>
  <si>
    <t>Dirty Couch Hockey Club</t>
  </si>
  <si>
    <t>6B</t>
  </si>
  <si>
    <t>Doom Clouds/Golden Mules</t>
  </si>
  <si>
    <t>Dumpster Fire</t>
  </si>
  <si>
    <t>Eagles</t>
  </si>
  <si>
    <t>Edible Arrangements</t>
  </si>
  <si>
    <t>ESB</t>
  </si>
  <si>
    <t>Falcons</t>
  </si>
  <si>
    <t>Fighting Clams</t>
  </si>
  <si>
    <t>Fighting Narwhals</t>
  </si>
  <si>
    <t>Five Hole Fiends</t>
  </si>
  <si>
    <t>Fluffy Bunnies</t>
  </si>
  <si>
    <t>Flying Monkeys</t>
  </si>
  <si>
    <t>Glow Sticks</t>
  </si>
  <si>
    <t>Goal Diggers</t>
  </si>
  <si>
    <t>Greasy Weasels</t>
  </si>
  <si>
    <t>Greenhorns</t>
  </si>
  <si>
    <t>Gremlins Hockey</t>
  </si>
  <si>
    <t>Hackers</t>
  </si>
  <si>
    <t>Hampton West Hockey Club</t>
  </si>
  <si>
    <t>Highlanders</t>
  </si>
  <si>
    <t>Honey Badgers</t>
  </si>
  <si>
    <t>Hooligans</t>
  </si>
  <si>
    <t>Hungry Hatchlings</t>
  </si>
  <si>
    <t>8B</t>
  </si>
  <si>
    <t>Ice Breakers</t>
  </si>
  <si>
    <t>Iced Awesome</t>
  </si>
  <si>
    <t>Icemen</t>
  </si>
  <si>
    <t>Ice-O-Topes</t>
  </si>
  <si>
    <t>Jokres</t>
  </si>
  <si>
    <t>Khaos</t>
  </si>
  <si>
    <t>Kraken Up</t>
  </si>
  <si>
    <t>LKI</t>
  </si>
  <si>
    <t>LLUA</t>
  </si>
  <si>
    <t>Los Tigres</t>
  </si>
  <si>
    <t>Lagooners</t>
  </si>
  <si>
    <t>Maple Bars</t>
  </si>
  <si>
    <t>Mavericks</t>
  </si>
  <si>
    <t>Midnight Twist</t>
  </si>
  <si>
    <t>Mighty Mallards</t>
  </si>
  <si>
    <t>Mighty Moose</t>
  </si>
  <si>
    <t>Minner''s Minions</t>
  </si>
  <si>
    <t>MMHC</t>
  </si>
  <si>
    <t>Monarchs 5</t>
  </si>
  <si>
    <t>Monarchs 6</t>
  </si>
  <si>
    <t>Moose Knuckle</t>
  </si>
  <si>
    <t>Mudflaps</t>
  </si>
  <si>
    <t>Night Owls</t>
  </si>
  <si>
    <t>Nordekes</t>
  </si>
  <si>
    <t>Northwest Crabs</t>
  </si>
  <si>
    <t>Not Sure 5</t>
  </si>
  <si>
    <t>Not Sure 6</t>
  </si>
  <si>
    <t>NW Stars</t>
  </si>
  <si>
    <t>Offspring</t>
  </si>
  <si>
    <t>5B</t>
  </si>
  <si>
    <t>Orange Crush</t>
  </si>
  <si>
    <t>Pheasants</t>
  </si>
  <si>
    <t>Piranhas</t>
  </si>
  <si>
    <t>Pythons</t>
  </si>
  <si>
    <t>Pond Pigeons</t>
  </si>
  <si>
    <t>Puckbuddies</t>
  </si>
  <si>
    <t>10B</t>
  </si>
  <si>
    <t>Purple Puck Eaters</t>
  </si>
  <si>
    <t>Purple Reign</t>
  </si>
  <si>
    <t>PussyCats</t>
  </si>
  <si>
    <t>Quacken</t>
  </si>
  <si>
    <t>Raiders</t>
  </si>
  <si>
    <t>Rainier Reindeer HC-6</t>
  </si>
  <si>
    <t>Rainier Reindeers HC-9</t>
  </si>
  <si>
    <t>Real Bacon</t>
  </si>
  <si>
    <t>Reapers</t>
  </si>
  <si>
    <t>Red Dog</t>
  </si>
  <si>
    <t>Red Zeppelin</t>
  </si>
  <si>
    <t>Renegades</t>
  </si>
  <si>
    <t>Rhinos</t>
  </si>
  <si>
    <t>Roughnecks Mobile Infantry</t>
  </si>
  <si>
    <t>Sabercats</t>
  </si>
  <si>
    <t>Sasquatch</t>
  </si>
  <si>
    <t>Screaming Eagles</t>
  </si>
  <si>
    <t>Schilling Cider</t>
  </si>
  <si>
    <t>SEA Cucumbers</t>
  </si>
  <si>
    <t>Seagulls</t>
  </si>
  <si>
    <t>Seal Team Sticks</t>
  </si>
  <si>
    <t>The Seals</t>
  </si>
  <si>
    <t>Seattle Seals</t>
  </si>
  <si>
    <t>Seattle Dogs</t>
  </si>
  <si>
    <t>Seattle Freeze</t>
  </si>
  <si>
    <t>Seattle Slapshots</t>
  </si>
  <si>
    <t>Seattle Supernova</t>
  </si>
  <si>
    <t>Seattle Warriors</t>
  </si>
  <si>
    <t>Shockers</t>
  </si>
  <si>
    <t>Skateful Dead</t>
  </si>
  <si>
    <t>Skeletons</t>
  </si>
  <si>
    <t>Sockeyes</t>
  </si>
  <si>
    <t>Spicy Kittens HC-9</t>
  </si>
  <si>
    <t>Spicy Kittens HC-8</t>
  </si>
  <si>
    <t>Spittin'' Llamas</t>
  </si>
  <si>
    <t>Maelstrom</t>
  </si>
  <si>
    <t>Mad Hat Tricks</t>
  </si>
  <si>
    <t>The Axolotls</t>
  </si>
  <si>
    <t>Squids</t>
  </si>
  <si>
    <t>Steelhead</t>
  </si>
  <si>
    <t>Stingers</t>
  </si>
  <si>
    <t>The Brigade</t>
  </si>
  <si>
    <t>The Herd</t>
  </si>
  <si>
    <t>The Mighty Geoducks</t>
  </si>
  <si>
    <t>Toe Dragons</t>
  </si>
  <si>
    <t>Top Cheddar</t>
  </si>
  <si>
    <t>Trash Pandas 7/Coyotes</t>
  </si>
  <si>
    <t>TP6/Fossils</t>
  </si>
  <si>
    <t>Trash Pandas Garbage Legacy</t>
  </si>
  <si>
    <t>Tropical Punchers</t>
  </si>
  <si>
    <t>WKUTP-5</t>
  </si>
  <si>
    <t>Wolves</t>
  </si>
  <si>
    <t>Wranglers</t>
  </si>
  <si>
    <t>Yacht Flippers</t>
  </si>
  <si>
    <t>Yetis</t>
  </si>
  <si>
    <t>Rip-Its</t>
  </si>
  <si>
    <t>Galactic Penguins</t>
  </si>
  <si>
    <t>Redrum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</si>
</sst>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5EE6-5B9C-4F74-9C70-F47CE547CAED}">
  <dimension ref="A1:K139"/>
  <sheetViews>
    <sheetView tabSelected="1" topLeftCell="A115" workbookViewId="0">
      <selection activeCell="D129" sqref="D129"/>
    </sheetView>
  </sheetViews>
  <sheetFormatPr defaultRowHeight="15" x14ac:dyDescent="0.25"/>
  <cols>
    <col min="1" max="1" width="8.140625" bestFit="1" customWidth="1"/>
    <col min="2" max="2" width="27.85546875" bestFit="1" customWidth="1"/>
    <col min="3" max="3" width="9.140625" style="1"/>
  </cols>
  <sheetData>
    <row r="1" spans="1:11" x14ac:dyDescent="0.25">
      <c r="A1" t="s">
        <v>0</v>
      </c>
      <c r="B1" t="s">
        <v>1</v>
      </c>
      <c r="C1" s="1" t="s">
        <v>2</v>
      </c>
      <c r="D1" t="s">
        <v>3</v>
      </c>
    </row>
    <row r="2" spans="1:11" x14ac:dyDescent="0.25">
      <c r="A2">
        <v>1</v>
      </c>
      <c r="B2" t="s">
        <v>8</v>
      </c>
      <c r="C2" s="1">
        <v>1</v>
      </c>
      <c r="D2">
        <v>4609</v>
      </c>
      <c r="E2">
        <f>ROUND(D2+$K$2*(_xlfn.XLOOKUP(C2,H:H,I:I)-D2),0)</f>
        <v>4545</v>
      </c>
      <c r="F2">
        <f>E2-D2</f>
        <v>-64</v>
      </c>
      <c r="H2" cm="1">
        <f t="array" ref="H2:H24">_xlfn.UNIQUE(C2:C139)</f>
        <v>1</v>
      </c>
      <c r="I2">
        <f>ROUND(AVERAGEIF(C:C,H2,D:D),0)</f>
        <v>4351</v>
      </c>
      <c r="K2">
        <v>0.25</v>
      </c>
    </row>
    <row r="3" spans="1:11" x14ac:dyDescent="0.25">
      <c r="A3">
        <v>2</v>
      </c>
      <c r="B3" t="s">
        <v>49</v>
      </c>
      <c r="C3" s="1">
        <v>1</v>
      </c>
      <c r="D3">
        <v>4409</v>
      </c>
      <c r="E3">
        <f t="shared" ref="E3:E66" si="0">ROUND(D3+$K$2*(_xlfn.XLOOKUP(C3,H:H,I:I)-D3),0)</f>
        <v>4395</v>
      </c>
      <c r="F3">
        <f t="shared" ref="F3:F7" si="1">E3-D3</f>
        <v>-14</v>
      </c>
      <c r="H3">
        <v>2</v>
      </c>
      <c r="I3">
        <f t="shared" ref="I3:I24" si="2">ROUND(AVERAGEIF(C:C,H3,D:D),0)</f>
        <v>4134</v>
      </c>
    </row>
    <row r="4" spans="1:11" x14ac:dyDescent="0.25">
      <c r="A4">
        <v>3</v>
      </c>
      <c r="B4" t="s">
        <v>92</v>
      </c>
      <c r="C4" s="1">
        <v>2</v>
      </c>
      <c r="D4">
        <v>4402</v>
      </c>
      <c r="E4">
        <f t="shared" si="0"/>
        <v>4335</v>
      </c>
      <c r="F4">
        <f t="shared" si="1"/>
        <v>-67</v>
      </c>
      <c r="H4" t="str">
        <v>3A</v>
      </c>
      <c r="I4">
        <f t="shared" si="2"/>
        <v>3883</v>
      </c>
    </row>
    <row r="5" spans="1:11" x14ac:dyDescent="0.25">
      <c r="A5">
        <v>4</v>
      </c>
      <c r="B5" t="s">
        <v>50</v>
      </c>
      <c r="C5" s="1">
        <v>1</v>
      </c>
      <c r="D5">
        <v>4362</v>
      </c>
      <c r="E5">
        <f t="shared" si="0"/>
        <v>4359</v>
      </c>
      <c r="F5">
        <f t="shared" si="1"/>
        <v>-3</v>
      </c>
      <c r="H5" t="str">
        <v>3B</v>
      </c>
      <c r="I5">
        <f t="shared" si="2"/>
        <v>3607</v>
      </c>
    </row>
    <row r="6" spans="1:11" x14ac:dyDescent="0.25">
      <c r="A6">
        <v>5</v>
      </c>
      <c r="B6" t="s">
        <v>84</v>
      </c>
      <c r="C6" s="1">
        <v>1</v>
      </c>
      <c r="D6">
        <v>4300</v>
      </c>
      <c r="E6">
        <f t="shared" si="0"/>
        <v>4313</v>
      </c>
      <c r="F6">
        <f t="shared" si="1"/>
        <v>13</v>
      </c>
      <c r="H6" t="str">
        <v>4A</v>
      </c>
      <c r="I6">
        <f t="shared" si="2"/>
        <v>3475</v>
      </c>
    </row>
    <row r="7" spans="1:11" x14ac:dyDescent="0.25">
      <c r="A7">
        <v>6</v>
      </c>
      <c r="B7" t="s">
        <v>148</v>
      </c>
      <c r="C7" s="1">
        <v>2</v>
      </c>
      <c r="D7">
        <v>4237</v>
      </c>
      <c r="E7">
        <f t="shared" si="0"/>
        <v>4211</v>
      </c>
      <c r="F7">
        <f t="shared" si="1"/>
        <v>-26</v>
      </c>
      <c r="H7" t="str">
        <v>4C</v>
      </c>
      <c r="I7">
        <f t="shared" si="2"/>
        <v>3214</v>
      </c>
    </row>
    <row r="8" spans="1:11" x14ac:dyDescent="0.25">
      <c r="A8">
        <v>7</v>
      </c>
      <c r="B8" t="s">
        <v>95</v>
      </c>
      <c r="C8" s="1">
        <v>1</v>
      </c>
      <c r="D8">
        <v>4223</v>
      </c>
      <c r="E8">
        <f t="shared" si="0"/>
        <v>4255</v>
      </c>
      <c r="F8">
        <f>E8-D8</f>
        <v>32</v>
      </c>
      <c r="H8" t="str">
        <v>4B</v>
      </c>
      <c r="I8">
        <f t="shared" si="2"/>
        <v>3322</v>
      </c>
    </row>
    <row r="9" spans="1:11" x14ac:dyDescent="0.25">
      <c r="A9">
        <v>8</v>
      </c>
      <c r="B9" t="s">
        <v>131</v>
      </c>
      <c r="C9" s="1">
        <v>1</v>
      </c>
      <c r="D9">
        <v>4204</v>
      </c>
      <c r="E9">
        <f t="shared" si="0"/>
        <v>4241</v>
      </c>
      <c r="F9">
        <f t="shared" ref="F9:F15" si="3">E9-D9</f>
        <v>37</v>
      </c>
      <c r="H9" t="str">
        <v>5A</v>
      </c>
      <c r="I9">
        <f t="shared" si="2"/>
        <v>3102</v>
      </c>
    </row>
    <row r="10" spans="1:11" x14ac:dyDescent="0.25">
      <c r="A10">
        <v>9</v>
      </c>
      <c r="B10" t="s">
        <v>35</v>
      </c>
      <c r="C10" s="1">
        <v>2</v>
      </c>
      <c r="D10">
        <v>4173</v>
      </c>
      <c r="E10">
        <f t="shared" si="0"/>
        <v>4163</v>
      </c>
      <c r="F10">
        <f t="shared" si="3"/>
        <v>-10</v>
      </c>
      <c r="H10" t="str">
        <v>5C</v>
      </c>
      <c r="I10">
        <f t="shared" si="2"/>
        <v>2980</v>
      </c>
    </row>
    <row r="11" spans="1:11" x14ac:dyDescent="0.25">
      <c r="A11">
        <v>10</v>
      </c>
      <c r="B11" t="s">
        <v>146</v>
      </c>
      <c r="C11" s="1">
        <v>2</v>
      </c>
      <c r="D11">
        <v>4135</v>
      </c>
      <c r="E11">
        <f t="shared" si="0"/>
        <v>4135</v>
      </c>
      <c r="F11">
        <f t="shared" si="3"/>
        <v>0</v>
      </c>
      <c r="H11" t="str">
        <v>5B</v>
      </c>
      <c r="I11">
        <f t="shared" si="2"/>
        <v>2895</v>
      </c>
    </row>
    <row r="12" spans="1:11" x14ac:dyDescent="0.25">
      <c r="A12">
        <v>11</v>
      </c>
      <c r="B12" t="s">
        <v>80</v>
      </c>
      <c r="C12" s="1">
        <v>2</v>
      </c>
      <c r="D12">
        <v>4088</v>
      </c>
      <c r="E12">
        <f t="shared" si="0"/>
        <v>4100</v>
      </c>
      <c r="F12">
        <f t="shared" si="3"/>
        <v>12</v>
      </c>
      <c r="H12" t="str">
        <v>5D</v>
      </c>
      <c r="I12">
        <f t="shared" si="2"/>
        <v>2689</v>
      </c>
    </row>
    <row r="13" spans="1:11" x14ac:dyDescent="0.25">
      <c r="A13">
        <v>12</v>
      </c>
      <c r="B13" t="s">
        <v>117</v>
      </c>
      <c r="C13" s="1" t="s">
        <v>12</v>
      </c>
      <c r="D13">
        <v>4070</v>
      </c>
      <c r="E13">
        <f t="shared" si="0"/>
        <v>4023</v>
      </c>
      <c r="F13">
        <f t="shared" si="3"/>
        <v>-47</v>
      </c>
      <c r="H13" t="str">
        <v>6A</v>
      </c>
      <c r="I13">
        <f t="shared" si="2"/>
        <v>2605</v>
      </c>
    </row>
    <row r="14" spans="1:11" x14ac:dyDescent="0.25">
      <c r="A14">
        <v>13</v>
      </c>
      <c r="B14" t="s">
        <v>52</v>
      </c>
      <c r="C14" s="1">
        <v>2</v>
      </c>
      <c r="D14">
        <v>4050</v>
      </c>
      <c r="E14">
        <f t="shared" si="0"/>
        <v>4071</v>
      </c>
      <c r="F14">
        <f t="shared" si="3"/>
        <v>21</v>
      </c>
      <c r="H14" t="str">
        <v>6B</v>
      </c>
      <c r="I14">
        <f t="shared" si="2"/>
        <v>2580</v>
      </c>
    </row>
    <row r="15" spans="1:11" x14ac:dyDescent="0.25">
      <c r="A15">
        <v>14</v>
      </c>
      <c r="B15" t="s">
        <v>114</v>
      </c>
      <c r="C15" s="1">
        <v>2</v>
      </c>
      <c r="D15">
        <v>4040</v>
      </c>
      <c r="E15">
        <f t="shared" si="0"/>
        <v>4064</v>
      </c>
      <c r="F15">
        <f t="shared" si="3"/>
        <v>24</v>
      </c>
      <c r="H15" t="str">
        <v>6C</v>
      </c>
      <c r="I15">
        <f t="shared" si="2"/>
        <v>2458</v>
      </c>
    </row>
    <row r="16" spans="1:11" x14ac:dyDescent="0.25">
      <c r="A16">
        <v>15</v>
      </c>
      <c r="B16" t="s">
        <v>47</v>
      </c>
      <c r="C16" s="1" t="s">
        <v>12</v>
      </c>
      <c r="D16">
        <v>3996</v>
      </c>
      <c r="E16">
        <f t="shared" si="0"/>
        <v>3968</v>
      </c>
      <c r="F16">
        <f t="shared" ref="F16" si="4">E16-D16</f>
        <v>-28</v>
      </c>
      <c r="H16" t="str">
        <v>6D</v>
      </c>
      <c r="I16">
        <f t="shared" si="2"/>
        <v>2315</v>
      </c>
    </row>
    <row r="17" spans="1:9" x14ac:dyDescent="0.25">
      <c r="A17">
        <v>16</v>
      </c>
      <c r="B17" t="s">
        <v>99</v>
      </c>
      <c r="C17" s="1">
        <v>2</v>
      </c>
      <c r="D17">
        <v>3950</v>
      </c>
      <c r="E17">
        <f t="shared" si="0"/>
        <v>3996</v>
      </c>
      <c r="F17">
        <f t="shared" ref="F17:F19" si="5">E17-D17</f>
        <v>46</v>
      </c>
      <c r="H17" t="str">
        <v>7A</v>
      </c>
      <c r="I17">
        <f t="shared" si="2"/>
        <v>1996</v>
      </c>
    </row>
    <row r="18" spans="1:9" x14ac:dyDescent="0.25">
      <c r="A18">
        <v>17</v>
      </c>
      <c r="B18" t="s">
        <v>26</v>
      </c>
      <c r="C18" s="1" t="s">
        <v>12</v>
      </c>
      <c r="D18">
        <v>3900</v>
      </c>
      <c r="E18">
        <f t="shared" si="0"/>
        <v>3896</v>
      </c>
      <c r="F18">
        <f t="shared" si="5"/>
        <v>-4</v>
      </c>
      <c r="H18" t="str">
        <v>7B</v>
      </c>
      <c r="I18">
        <f t="shared" si="2"/>
        <v>1870</v>
      </c>
    </row>
    <row r="19" spans="1:9" x14ac:dyDescent="0.25">
      <c r="A19">
        <v>18</v>
      </c>
      <c r="B19" t="s">
        <v>85</v>
      </c>
      <c r="C19" s="1" t="s">
        <v>12</v>
      </c>
      <c r="D19">
        <v>3873</v>
      </c>
      <c r="E19">
        <f t="shared" si="0"/>
        <v>3876</v>
      </c>
      <c r="F19">
        <f t="shared" si="5"/>
        <v>3</v>
      </c>
      <c r="H19" t="str">
        <v>8A</v>
      </c>
      <c r="I19">
        <f t="shared" si="2"/>
        <v>1733</v>
      </c>
    </row>
    <row r="20" spans="1:9" x14ac:dyDescent="0.25">
      <c r="A20">
        <v>19</v>
      </c>
      <c r="B20" t="s">
        <v>57</v>
      </c>
      <c r="C20" s="1" t="s">
        <v>25</v>
      </c>
      <c r="D20">
        <v>3860</v>
      </c>
      <c r="E20">
        <f t="shared" si="0"/>
        <v>3797</v>
      </c>
      <c r="F20">
        <f t="shared" ref="F20" si="6">E20-D20</f>
        <v>-63</v>
      </c>
      <c r="H20" t="str">
        <v>8B</v>
      </c>
      <c r="I20">
        <f t="shared" si="2"/>
        <v>1552</v>
      </c>
    </row>
    <row r="21" spans="1:9" x14ac:dyDescent="0.25">
      <c r="A21">
        <v>20</v>
      </c>
      <c r="B21" t="s">
        <v>120</v>
      </c>
      <c r="C21" s="1" t="s">
        <v>25</v>
      </c>
      <c r="D21">
        <v>3854</v>
      </c>
      <c r="E21">
        <f t="shared" si="0"/>
        <v>3792</v>
      </c>
      <c r="F21">
        <f t="shared" ref="F21:F25" si="7">E21-D21</f>
        <v>-62</v>
      </c>
      <c r="H21" t="str">
        <v>9A</v>
      </c>
      <c r="I21">
        <f t="shared" si="2"/>
        <v>1447</v>
      </c>
    </row>
    <row r="22" spans="1:9" x14ac:dyDescent="0.25">
      <c r="A22">
        <v>21</v>
      </c>
      <c r="B22" t="s">
        <v>103</v>
      </c>
      <c r="C22" s="1" t="s">
        <v>12</v>
      </c>
      <c r="D22">
        <v>3735</v>
      </c>
      <c r="E22">
        <f t="shared" si="0"/>
        <v>3772</v>
      </c>
      <c r="F22">
        <f t="shared" si="7"/>
        <v>37</v>
      </c>
      <c r="H22" t="str">
        <v>9B</v>
      </c>
      <c r="I22">
        <f t="shared" si="2"/>
        <v>1257</v>
      </c>
    </row>
    <row r="23" spans="1:9" x14ac:dyDescent="0.25">
      <c r="A23">
        <v>22</v>
      </c>
      <c r="B23" t="s">
        <v>147</v>
      </c>
      <c r="C23" s="1" t="s">
        <v>12</v>
      </c>
      <c r="D23">
        <v>3724</v>
      </c>
      <c r="E23">
        <f t="shared" si="0"/>
        <v>3764</v>
      </c>
      <c r="F23">
        <f t="shared" si="7"/>
        <v>40</v>
      </c>
      <c r="H23" t="str">
        <v>10B</v>
      </c>
      <c r="I23">
        <f t="shared" si="2"/>
        <v>1030</v>
      </c>
    </row>
    <row r="24" spans="1:9" x14ac:dyDescent="0.25">
      <c r="A24">
        <v>23</v>
      </c>
      <c r="B24" t="s">
        <v>119</v>
      </c>
      <c r="C24" s="1" t="s">
        <v>25</v>
      </c>
      <c r="D24">
        <v>3656</v>
      </c>
      <c r="E24">
        <f t="shared" si="0"/>
        <v>3644</v>
      </c>
      <c r="F24">
        <f t="shared" si="7"/>
        <v>-12</v>
      </c>
      <c r="H24" t="str">
        <v>10A</v>
      </c>
      <c r="I24">
        <f t="shared" si="2"/>
        <v>954</v>
      </c>
    </row>
    <row r="25" spans="1:9" x14ac:dyDescent="0.25">
      <c r="A25">
        <v>24</v>
      </c>
      <c r="B25" t="s">
        <v>79</v>
      </c>
      <c r="C25" s="1" t="s">
        <v>37</v>
      </c>
      <c r="D25">
        <v>3638</v>
      </c>
      <c r="E25">
        <f t="shared" si="0"/>
        <v>3597</v>
      </c>
      <c r="F25">
        <f t="shared" si="7"/>
        <v>-41</v>
      </c>
    </row>
    <row r="26" spans="1:9" x14ac:dyDescent="0.25">
      <c r="A26">
        <v>25</v>
      </c>
      <c r="B26" t="s">
        <v>31</v>
      </c>
      <c r="C26" s="1" t="s">
        <v>37</v>
      </c>
      <c r="D26">
        <v>3525</v>
      </c>
      <c r="E26">
        <f t="shared" si="0"/>
        <v>3513</v>
      </c>
      <c r="F26">
        <f t="shared" ref="F26:F89" si="8">E26-D26</f>
        <v>-12</v>
      </c>
    </row>
    <row r="27" spans="1:9" x14ac:dyDescent="0.25">
      <c r="A27">
        <v>26</v>
      </c>
      <c r="B27" t="s">
        <v>121</v>
      </c>
      <c r="C27" s="1" t="s">
        <v>37</v>
      </c>
      <c r="D27">
        <v>3500</v>
      </c>
      <c r="E27">
        <f t="shared" si="0"/>
        <v>3494</v>
      </c>
      <c r="F27">
        <f t="shared" ref="F27:F31" si="9">E27-D27</f>
        <v>-6</v>
      </c>
    </row>
    <row r="28" spans="1:9" x14ac:dyDescent="0.25">
      <c r="A28">
        <v>27</v>
      </c>
      <c r="B28" t="s">
        <v>36</v>
      </c>
      <c r="C28" s="1" t="s">
        <v>25</v>
      </c>
      <c r="D28">
        <v>3489</v>
      </c>
      <c r="E28">
        <f t="shared" si="0"/>
        <v>3519</v>
      </c>
      <c r="F28">
        <f t="shared" si="9"/>
        <v>30</v>
      </c>
    </row>
    <row r="29" spans="1:9" x14ac:dyDescent="0.25">
      <c r="A29">
        <v>28</v>
      </c>
      <c r="B29" t="s">
        <v>90</v>
      </c>
      <c r="C29" s="1" t="s">
        <v>37</v>
      </c>
      <c r="D29">
        <v>3484</v>
      </c>
      <c r="E29">
        <f t="shared" si="0"/>
        <v>3482</v>
      </c>
      <c r="F29">
        <f t="shared" si="9"/>
        <v>-2</v>
      </c>
    </row>
    <row r="30" spans="1:9" x14ac:dyDescent="0.25">
      <c r="A30">
        <v>29</v>
      </c>
      <c r="B30" t="s">
        <v>135</v>
      </c>
      <c r="C30" s="1" t="s">
        <v>30</v>
      </c>
      <c r="D30">
        <v>3471</v>
      </c>
      <c r="E30">
        <f t="shared" si="0"/>
        <v>3407</v>
      </c>
      <c r="F30">
        <f t="shared" si="9"/>
        <v>-64</v>
      </c>
    </row>
    <row r="31" spans="1:9" x14ac:dyDescent="0.25">
      <c r="A31">
        <v>30</v>
      </c>
      <c r="B31" t="s">
        <v>65</v>
      </c>
      <c r="C31" s="1" t="s">
        <v>32</v>
      </c>
      <c r="D31">
        <v>3468</v>
      </c>
      <c r="E31">
        <f t="shared" si="0"/>
        <v>3432</v>
      </c>
      <c r="F31">
        <f t="shared" si="9"/>
        <v>-36</v>
      </c>
    </row>
    <row r="32" spans="1:9" x14ac:dyDescent="0.25">
      <c r="A32">
        <v>31</v>
      </c>
      <c r="B32" t="s">
        <v>76</v>
      </c>
      <c r="C32" s="1" t="s">
        <v>32</v>
      </c>
      <c r="D32">
        <v>3437</v>
      </c>
      <c r="E32">
        <f t="shared" si="0"/>
        <v>3408</v>
      </c>
      <c r="F32">
        <f t="shared" si="8"/>
        <v>-29</v>
      </c>
    </row>
    <row r="33" spans="1:6" x14ac:dyDescent="0.25">
      <c r="A33">
        <v>32</v>
      </c>
      <c r="B33" t="s">
        <v>82</v>
      </c>
      <c r="C33" s="1" t="s">
        <v>32</v>
      </c>
      <c r="D33">
        <v>3409</v>
      </c>
      <c r="E33">
        <f t="shared" si="0"/>
        <v>3387</v>
      </c>
      <c r="F33">
        <f t="shared" ref="F33:F37" si="10">E33-D33</f>
        <v>-22</v>
      </c>
    </row>
    <row r="34" spans="1:6" x14ac:dyDescent="0.25">
      <c r="A34">
        <v>33</v>
      </c>
      <c r="B34" t="s">
        <v>133</v>
      </c>
      <c r="C34" s="1" t="s">
        <v>25</v>
      </c>
      <c r="D34">
        <v>3396</v>
      </c>
      <c r="E34">
        <f t="shared" si="0"/>
        <v>3449</v>
      </c>
      <c r="F34">
        <f t="shared" si="10"/>
        <v>53</v>
      </c>
    </row>
    <row r="35" spans="1:6" x14ac:dyDescent="0.25">
      <c r="A35">
        <v>34</v>
      </c>
      <c r="B35" t="s">
        <v>144</v>
      </c>
      <c r="C35" s="1" t="s">
        <v>37</v>
      </c>
      <c r="D35">
        <v>3393</v>
      </c>
      <c r="E35">
        <f t="shared" si="0"/>
        <v>3414</v>
      </c>
      <c r="F35">
        <f t="shared" si="10"/>
        <v>21</v>
      </c>
    </row>
    <row r="36" spans="1:6" x14ac:dyDescent="0.25">
      <c r="A36">
        <v>35</v>
      </c>
      <c r="B36" t="s">
        <v>39</v>
      </c>
      <c r="C36" s="1" t="s">
        <v>25</v>
      </c>
      <c r="D36">
        <v>3389</v>
      </c>
      <c r="E36">
        <f t="shared" si="0"/>
        <v>3444</v>
      </c>
      <c r="F36">
        <f t="shared" si="10"/>
        <v>55</v>
      </c>
    </row>
    <row r="37" spans="1:6" x14ac:dyDescent="0.25">
      <c r="A37">
        <v>36</v>
      </c>
      <c r="B37" t="s">
        <v>88</v>
      </c>
      <c r="C37" s="1" t="s">
        <v>30</v>
      </c>
      <c r="D37">
        <v>3338</v>
      </c>
      <c r="E37">
        <f t="shared" si="0"/>
        <v>3307</v>
      </c>
      <c r="F37">
        <f t="shared" si="10"/>
        <v>-31</v>
      </c>
    </row>
    <row r="38" spans="1:6" x14ac:dyDescent="0.25">
      <c r="A38">
        <v>37</v>
      </c>
      <c r="B38" t="s">
        <v>156</v>
      </c>
      <c r="C38" s="1" t="s">
        <v>30</v>
      </c>
      <c r="D38">
        <v>3327</v>
      </c>
      <c r="E38">
        <f t="shared" si="0"/>
        <v>3299</v>
      </c>
      <c r="F38">
        <f t="shared" si="8"/>
        <v>-28</v>
      </c>
    </row>
    <row r="39" spans="1:6" x14ac:dyDescent="0.25">
      <c r="A39">
        <v>38</v>
      </c>
      <c r="B39" t="s">
        <v>134</v>
      </c>
      <c r="C39" s="1" t="s">
        <v>37</v>
      </c>
      <c r="D39">
        <v>3309</v>
      </c>
      <c r="E39">
        <f t="shared" si="0"/>
        <v>3351</v>
      </c>
      <c r="F39">
        <f t="shared" ref="F39:F43" si="11">E39-D39</f>
        <v>42</v>
      </c>
    </row>
    <row r="40" spans="1:6" x14ac:dyDescent="0.25">
      <c r="A40">
        <v>39</v>
      </c>
      <c r="B40" t="s">
        <v>74</v>
      </c>
      <c r="C40" s="1" t="s">
        <v>32</v>
      </c>
      <c r="D40">
        <v>3272</v>
      </c>
      <c r="E40">
        <f t="shared" si="0"/>
        <v>3285</v>
      </c>
      <c r="F40">
        <f t="shared" si="11"/>
        <v>13</v>
      </c>
    </row>
    <row r="41" spans="1:6" x14ac:dyDescent="0.25">
      <c r="A41">
        <v>40</v>
      </c>
      <c r="B41" t="s">
        <v>42</v>
      </c>
      <c r="C41" s="1" t="s">
        <v>30</v>
      </c>
      <c r="D41">
        <v>3267</v>
      </c>
      <c r="E41">
        <f t="shared" si="0"/>
        <v>3254</v>
      </c>
      <c r="F41">
        <f t="shared" si="11"/>
        <v>-13</v>
      </c>
    </row>
    <row r="42" spans="1:6" x14ac:dyDescent="0.25">
      <c r="A42">
        <v>41</v>
      </c>
      <c r="B42" t="s">
        <v>41</v>
      </c>
      <c r="C42" s="1" t="s">
        <v>7</v>
      </c>
      <c r="D42">
        <v>3236</v>
      </c>
      <c r="E42">
        <f t="shared" si="0"/>
        <v>3203</v>
      </c>
      <c r="F42">
        <f t="shared" si="11"/>
        <v>-33</v>
      </c>
    </row>
    <row r="43" spans="1:6" x14ac:dyDescent="0.25">
      <c r="A43">
        <v>42</v>
      </c>
      <c r="B43" t="s">
        <v>58</v>
      </c>
      <c r="C43" s="1" t="s">
        <v>30</v>
      </c>
      <c r="D43">
        <v>3231</v>
      </c>
      <c r="E43">
        <f t="shared" si="0"/>
        <v>3227</v>
      </c>
      <c r="F43">
        <f t="shared" si="11"/>
        <v>-4</v>
      </c>
    </row>
    <row r="44" spans="1:6" x14ac:dyDescent="0.25">
      <c r="A44">
        <v>43</v>
      </c>
      <c r="B44" t="s">
        <v>155</v>
      </c>
      <c r="C44" s="1" t="s">
        <v>7</v>
      </c>
      <c r="D44">
        <v>3224</v>
      </c>
      <c r="E44">
        <f t="shared" si="0"/>
        <v>3194</v>
      </c>
      <c r="F44">
        <f t="shared" si="8"/>
        <v>-30</v>
      </c>
    </row>
    <row r="45" spans="1:6" x14ac:dyDescent="0.25">
      <c r="A45">
        <v>44</v>
      </c>
      <c r="B45" t="s">
        <v>93</v>
      </c>
      <c r="C45" s="1" t="s">
        <v>7</v>
      </c>
      <c r="D45">
        <v>3195</v>
      </c>
      <c r="E45">
        <f t="shared" si="0"/>
        <v>3172</v>
      </c>
      <c r="F45">
        <f t="shared" ref="F45:F49" si="12">E45-D45</f>
        <v>-23</v>
      </c>
    </row>
    <row r="46" spans="1:6" x14ac:dyDescent="0.25">
      <c r="A46">
        <v>45</v>
      </c>
      <c r="B46" t="s">
        <v>122</v>
      </c>
      <c r="C46" s="1" t="s">
        <v>32</v>
      </c>
      <c r="D46">
        <v>3177</v>
      </c>
      <c r="E46">
        <f t="shared" si="0"/>
        <v>3213</v>
      </c>
      <c r="F46">
        <f t="shared" si="12"/>
        <v>36</v>
      </c>
    </row>
    <row r="47" spans="1:6" x14ac:dyDescent="0.25">
      <c r="A47">
        <v>46</v>
      </c>
      <c r="B47" t="s">
        <v>48</v>
      </c>
      <c r="C47" s="1" t="s">
        <v>32</v>
      </c>
      <c r="D47">
        <v>3166</v>
      </c>
      <c r="E47">
        <f t="shared" si="0"/>
        <v>3205</v>
      </c>
      <c r="F47">
        <f t="shared" si="12"/>
        <v>39</v>
      </c>
    </row>
    <row r="48" spans="1:6" x14ac:dyDescent="0.25">
      <c r="A48">
        <v>47</v>
      </c>
      <c r="B48" t="s">
        <v>145</v>
      </c>
      <c r="C48" s="1" t="s">
        <v>33</v>
      </c>
      <c r="D48">
        <v>3156</v>
      </c>
      <c r="E48">
        <f t="shared" si="0"/>
        <v>3112</v>
      </c>
      <c r="F48">
        <f t="shared" si="12"/>
        <v>-44</v>
      </c>
    </row>
    <row r="49" spans="1:6" x14ac:dyDescent="0.25">
      <c r="A49">
        <v>48</v>
      </c>
      <c r="B49" t="s">
        <v>46</v>
      </c>
      <c r="C49" s="1" t="s">
        <v>7</v>
      </c>
      <c r="D49">
        <v>3088</v>
      </c>
      <c r="E49">
        <f t="shared" si="0"/>
        <v>3092</v>
      </c>
      <c r="F49">
        <f t="shared" si="12"/>
        <v>4</v>
      </c>
    </row>
    <row r="50" spans="1:6" x14ac:dyDescent="0.25">
      <c r="A50">
        <v>49</v>
      </c>
      <c r="B50" t="s">
        <v>159</v>
      </c>
      <c r="C50" s="1" t="s">
        <v>33</v>
      </c>
      <c r="D50">
        <v>3055</v>
      </c>
      <c r="E50">
        <f t="shared" si="0"/>
        <v>3036</v>
      </c>
      <c r="F50">
        <f t="shared" si="8"/>
        <v>-19</v>
      </c>
    </row>
    <row r="51" spans="1:6" x14ac:dyDescent="0.25">
      <c r="A51">
        <v>50</v>
      </c>
      <c r="B51" t="s">
        <v>4</v>
      </c>
      <c r="C51" s="1" t="s">
        <v>33</v>
      </c>
      <c r="D51">
        <v>3006</v>
      </c>
      <c r="E51">
        <f t="shared" si="0"/>
        <v>3000</v>
      </c>
      <c r="F51">
        <f t="shared" ref="F51:F55" si="13">E51-D51</f>
        <v>-6</v>
      </c>
    </row>
    <row r="52" spans="1:6" x14ac:dyDescent="0.25">
      <c r="A52">
        <v>51</v>
      </c>
      <c r="B52" t="s">
        <v>6</v>
      </c>
      <c r="C52" s="1" t="s">
        <v>7</v>
      </c>
      <c r="D52">
        <v>3000</v>
      </c>
      <c r="E52">
        <f t="shared" si="0"/>
        <v>3026</v>
      </c>
      <c r="F52">
        <f t="shared" si="13"/>
        <v>26</v>
      </c>
    </row>
    <row r="53" spans="1:6" x14ac:dyDescent="0.25">
      <c r="A53">
        <v>52</v>
      </c>
      <c r="B53" t="s">
        <v>116</v>
      </c>
      <c r="C53" s="1" t="s">
        <v>97</v>
      </c>
      <c r="D53">
        <v>2974</v>
      </c>
      <c r="E53">
        <f t="shared" si="0"/>
        <v>2954</v>
      </c>
      <c r="F53">
        <f t="shared" si="13"/>
        <v>-20</v>
      </c>
    </row>
    <row r="54" spans="1:6" x14ac:dyDescent="0.25">
      <c r="A54">
        <v>53</v>
      </c>
      <c r="B54" t="s">
        <v>96</v>
      </c>
      <c r="C54" s="1" t="s">
        <v>97</v>
      </c>
      <c r="D54">
        <v>2950</v>
      </c>
      <c r="E54">
        <f t="shared" si="0"/>
        <v>2936</v>
      </c>
      <c r="F54">
        <f t="shared" si="13"/>
        <v>-14</v>
      </c>
    </row>
    <row r="55" spans="1:6" x14ac:dyDescent="0.25">
      <c r="A55">
        <v>54</v>
      </c>
      <c r="B55" t="s">
        <v>136</v>
      </c>
      <c r="C55" s="1" t="s">
        <v>97</v>
      </c>
      <c r="D55">
        <v>2950</v>
      </c>
      <c r="E55">
        <f t="shared" si="0"/>
        <v>2936</v>
      </c>
      <c r="F55">
        <f t="shared" si="13"/>
        <v>-14</v>
      </c>
    </row>
    <row r="56" spans="1:6" x14ac:dyDescent="0.25">
      <c r="A56">
        <v>55</v>
      </c>
      <c r="B56" t="s">
        <v>126</v>
      </c>
      <c r="C56" s="1" t="s">
        <v>5</v>
      </c>
      <c r="D56">
        <v>2932</v>
      </c>
      <c r="E56">
        <f t="shared" si="0"/>
        <v>2871</v>
      </c>
      <c r="F56">
        <f t="shared" si="8"/>
        <v>-61</v>
      </c>
    </row>
    <row r="57" spans="1:6" x14ac:dyDescent="0.25">
      <c r="A57">
        <v>56</v>
      </c>
      <c r="B57" t="s">
        <v>81</v>
      </c>
      <c r="C57" s="1" t="s">
        <v>33</v>
      </c>
      <c r="D57">
        <v>2926</v>
      </c>
      <c r="E57">
        <f t="shared" si="0"/>
        <v>2940</v>
      </c>
      <c r="F57">
        <f t="shared" ref="F57:F62" si="14">E57-D57</f>
        <v>14</v>
      </c>
    </row>
    <row r="58" spans="1:6" x14ac:dyDescent="0.25">
      <c r="A58">
        <v>57</v>
      </c>
      <c r="B58" t="s">
        <v>100</v>
      </c>
      <c r="C58" s="1" t="s">
        <v>33</v>
      </c>
      <c r="D58">
        <v>2885</v>
      </c>
      <c r="E58">
        <f t="shared" si="0"/>
        <v>2909</v>
      </c>
      <c r="F58">
        <f t="shared" si="14"/>
        <v>24</v>
      </c>
    </row>
    <row r="59" spans="1:6" x14ac:dyDescent="0.25">
      <c r="A59">
        <v>58</v>
      </c>
      <c r="B59" t="s">
        <v>29</v>
      </c>
      <c r="C59" s="1" t="s">
        <v>7</v>
      </c>
      <c r="D59">
        <v>2868</v>
      </c>
      <c r="E59">
        <f t="shared" si="0"/>
        <v>2927</v>
      </c>
      <c r="F59">
        <f t="shared" si="14"/>
        <v>59</v>
      </c>
    </row>
    <row r="60" spans="1:6" x14ac:dyDescent="0.25">
      <c r="A60">
        <v>59</v>
      </c>
      <c r="B60" t="s">
        <v>113</v>
      </c>
      <c r="C60" s="1" t="s">
        <v>97</v>
      </c>
      <c r="D60">
        <v>2853</v>
      </c>
      <c r="E60">
        <f t="shared" si="0"/>
        <v>2864</v>
      </c>
      <c r="F60">
        <f t="shared" si="14"/>
        <v>11</v>
      </c>
    </row>
    <row r="61" spans="1:6" x14ac:dyDescent="0.25">
      <c r="A61">
        <v>60</v>
      </c>
      <c r="B61" t="s">
        <v>53</v>
      </c>
      <c r="C61" s="1" t="s">
        <v>33</v>
      </c>
      <c r="D61">
        <v>2850</v>
      </c>
      <c r="E61">
        <f t="shared" si="0"/>
        <v>2883</v>
      </c>
      <c r="F61">
        <f t="shared" si="14"/>
        <v>33</v>
      </c>
    </row>
    <row r="62" spans="1:6" x14ac:dyDescent="0.25">
      <c r="A62">
        <v>61</v>
      </c>
      <c r="B62" t="s">
        <v>18</v>
      </c>
      <c r="C62" s="1" t="s">
        <v>5</v>
      </c>
      <c r="D62">
        <v>2835</v>
      </c>
      <c r="E62">
        <f t="shared" si="0"/>
        <v>2799</v>
      </c>
      <c r="F62">
        <f t="shared" si="14"/>
        <v>-36</v>
      </c>
    </row>
    <row r="63" spans="1:6" x14ac:dyDescent="0.25">
      <c r="A63">
        <v>62</v>
      </c>
      <c r="B63" t="s">
        <v>71</v>
      </c>
      <c r="C63" s="1" t="s">
        <v>97</v>
      </c>
      <c r="D63">
        <v>2832</v>
      </c>
      <c r="E63">
        <f t="shared" si="0"/>
        <v>2848</v>
      </c>
      <c r="F63">
        <f t="shared" ref="F63:F67" si="15">E63-D63</f>
        <v>16</v>
      </c>
    </row>
    <row r="64" spans="1:6" x14ac:dyDescent="0.25">
      <c r="A64">
        <v>63</v>
      </c>
      <c r="B64" t="s">
        <v>43</v>
      </c>
      <c r="C64" s="1" t="s">
        <v>28</v>
      </c>
      <c r="D64">
        <v>2829</v>
      </c>
      <c r="E64">
        <f t="shared" si="0"/>
        <v>2773</v>
      </c>
      <c r="F64">
        <f t="shared" si="15"/>
        <v>-56</v>
      </c>
    </row>
    <row r="65" spans="1:6" x14ac:dyDescent="0.25">
      <c r="A65">
        <v>64</v>
      </c>
      <c r="B65" t="s">
        <v>124</v>
      </c>
      <c r="C65" s="1" t="s">
        <v>97</v>
      </c>
      <c r="D65">
        <v>2811</v>
      </c>
      <c r="E65">
        <f t="shared" si="0"/>
        <v>2832</v>
      </c>
      <c r="F65">
        <f t="shared" si="15"/>
        <v>21</v>
      </c>
    </row>
    <row r="66" spans="1:6" x14ac:dyDescent="0.25">
      <c r="A66">
        <v>65</v>
      </c>
      <c r="B66" t="s">
        <v>72</v>
      </c>
      <c r="C66" s="1" t="s">
        <v>44</v>
      </c>
      <c r="D66">
        <v>2809</v>
      </c>
      <c r="E66">
        <f t="shared" si="0"/>
        <v>2752</v>
      </c>
      <c r="F66">
        <f t="shared" si="15"/>
        <v>-57</v>
      </c>
    </row>
    <row r="67" spans="1:6" x14ac:dyDescent="0.25">
      <c r="A67">
        <v>66</v>
      </c>
      <c r="B67" t="s">
        <v>143</v>
      </c>
      <c r="C67" s="1" t="s">
        <v>28</v>
      </c>
      <c r="D67">
        <v>2756</v>
      </c>
      <c r="E67">
        <f t="shared" ref="E67:E130" si="16">ROUND(D67+$K$2*(_xlfn.XLOOKUP(C67,H:H,I:I)-D67),0)</f>
        <v>2718</v>
      </c>
      <c r="F67">
        <f t="shared" si="15"/>
        <v>-38</v>
      </c>
    </row>
    <row r="68" spans="1:6" x14ac:dyDescent="0.25">
      <c r="A68">
        <v>67</v>
      </c>
      <c r="B68" t="s">
        <v>157</v>
      </c>
      <c r="C68" s="1" t="s">
        <v>40</v>
      </c>
      <c r="D68">
        <v>2728</v>
      </c>
      <c r="E68">
        <f t="shared" si="16"/>
        <v>2661</v>
      </c>
      <c r="F68">
        <f t="shared" si="8"/>
        <v>-67</v>
      </c>
    </row>
    <row r="69" spans="1:6" x14ac:dyDescent="0.25">
      <c r="A69">
        <v>68</v>
      </c>
      <c r="B69" t="s">
        <v>110</v>
      </c>
      <c r="C69" s="1" t="s">
        <v>44</v>
      </c>
      <c r="D69">
        <v>2707</v>
      </c>
      <c r="E69">
        <f t="shared" si="16"/>
        <v>2675</v>
      </c>
      <c r="F69">
        <f t="shared" si="8"/>
        <v>-32</v>
      </c>
    </row>
    <row r="70" spans="1:6" x14ac:dyDescent="0.25">
      <c r="A70">
        <v>69</v>
      </c>
      <c r="B70" t="s">
        <v>63</v>
      </c>
      <c r="C70" s="1" t="s">
        <v>5</v>
      </c>
      <c r="D70">
        <v>2661</v>
      </c>
      <c r="E70">
        <f t="shared" si="16"/>
        <v>2668</v>
      </c>
      <c r="F70">
        <f t="shared" si="8"/>
        <v>7</v>
      </c>
    </row>
    <row r="71" spans="1:6" x14ac:dyDescent="0.25">
      <c r="A71">
        <v>70</v>
      </c>
      <c r="B71" t="s">
        <v>132</v>
      </c>
      <c r="C71" s="1" t="s">
        <v>28</v>
      </c>
      <c r="D71">
        <v>2650</v>
      </c>
      <c r="E71">
        <f t="shared" si="16"/>
        <v>2639</v>
      </c>
      <c r="F71">
        <f t="shared" si="8"/>
        <v>-11</v>
      </c>
    </row>
    <row r="72" spans="1:6" x14ac:dyDescent="0.25">
      <c r="A72">
        <v>71</v>
      </c>
      <c r="B72" t="s">
        <v>150</v>
      </c>
      <c r="C72" s="1" t="s">
        <v>30</v>
      </c>
      <c r="D72">
        <v>2649</v>
      </c>
      <c r="E72">
        <f t="shared" si="16"/>
        <v>2790</v>
      </c>
      <c r="F72">
        <f t="shared" si="8"/>
        <v>141</v>
      </c>
    </row>
    <row r="73" spans="1:6" x14ac:dyDescent="0.25">
      <c r="A73">
        <v>72</v>
      </c>
      <c r="B73" t="s">
        <v>87</v>
      </c>
      <c r="C73" s="1" t="s">
        <v>44</v>
      </c>
      <c r="D73">
        <v>2649</v>
      </c>
      <c r="E73">
        <f t="shared" si="16"/>
        <v>2632</v>
      </c>
      <c r="F73">
        <f t="shared" si="8"/>
        <v>-17</v>
      </c>
    </row>
    <row r="74" spans="1:6" x14ac:dyDescent="0.25">
      <c r="A74">
        <v>73</v>
      </c>
      <c r="B74" t="s">
        <v>55</v>
      </c>
      <c r="C74" s="1" t="s">
        <v>5</v>
      </c>
      <c r="D74">
        <v>2625</v>
      </c>
      <c r="E74">
        <f t="shared" si="16"/>
        <v>2641</v>
      </c>
      <c r="F74">
        <f t="shared" si="8"/>
        <v>16</v>
      </c>
    </row>
    <row r="75" spans="1:6" x14ac:dyDescent="0.25">
      <c r="A75">
        <v>74</v>
      </c>
      <c r="B75" t="s">
        <v>27</v>
      </c>
      <c r="C75" s="1" t="s">
        <v>28</v>
      </c>
      <c r="D75">
        <v>2624</v>
      </c>
      <c r="E75">
        <f t="shared" si="16"/>
        <v>2619</v>
      </c>
      <c r="F75">
        <f t="shared" si="8"/>
        <v>-5</v>
      </c>
    </row>
    <row r="76" spans="1:6" x14ac:dyDescent="0.25">
      <c r="A76">
        <v>75</v>
      </c>
      <c r="B76" t="s">
        <v>152</v>
      </c>
      <c r="C76" s="1" t="s">
        <v>44</v>
      </c>
      <c r="D76">
        <v>2600</v>
      </c>
      <c r="E76">
        <f t="shared" si="16"/>
        <v>2595</v>
      </c>
      <c r="F76">
        <f t="shared" si="8"/>
        <v>-5</v>
      </c>
    </row>
    <row r="77" spans="1:6" x14ac:dyDescent="0.25">
      <c r="A77">
        <v>76</v>
      </c>
      <c r="B77" t="s">
        <v>151</v>
      </c>
      <c r="C77" s="1" t="s">
        <v>40</v>
      </c>
      <c r="D77">
        <v>2600</v>
      </c>
      <c r="E77">
        <f t="shared" si="16"/>
        <v>2565</v>
      </c>
      <c r="F77">
        <f t="shared" si="8"/>
        <v>-35</v>
      </c>
    </row>
    <row r="78" spans="1:6" x14ac:dyDescent="0.25">
      <c r="A78">
        <v>77</v>
      </c>
      <c r="B78" t="s">
        <v>107</v>
      </c>
      <c r="C78" s="1" t="s">
        <v>5</v>
      </c>
      <c r="D78">
        <v>2595</v>
      </c>
      <c r="E78">
        <f t="shared" si="16"/>
        <v>2619</v>
      </c>
      <c r="F78">
        <f t="shared" si="8"/>
        <v>24</v>
      </c>
    </row>
    <row r="79" spans="1:6" x14ac:dyDescent="0.25">
      <c r="A79">
        <v>78</v>
      </c>
      <c r="B79" t="s">
        <v>38</v>
      </c>
      <c r="C79" s="1" t="s">
        <v>14</v>
      </c>
      <c r="D79">
        <v>2540</v>
      </c>
      <c r="E79">
        <f t="shared" si="16"/>
        <v>2484</v>
      </c>
      <c r="F79">
        <f t="shared" si="8"/>
        <v>-56</v>
      </c>
    </row>
    <row r="80" spans="1:6" x14ac:dyDescent="0.25">
      <c r="A80">
        <v>79</v>
      </c>
      <c r="B80" t="s">
        <v>13</v>
      </c>
      <c r="C80" s="1" t="s">
        <v>40</v>
      </c>
      <c r="D80">
        <v>2489</v>
      </c>
      <c r="E80">
        <f t="shared" si="16"/>
        <v>2481</v>
      </c>
      <c r="F80">
        <f t="shared" si="8"/>
        <v>-8</v>
      </c>
    </row>
    <row r="81" spans="1:6" x14ac:dyDescent="0.25">
      <c r="A81">
        <v>80</v>
      </c>
      <c r="B81" t="s">
        <v>86</v>
      </c>
      <c r="C81" s="1" t="s">
        <v>5</v>
      </c>
      <c r="D81">
        <v>2486</v>
      </c>
      <c r="E81">
        <f t="shared" si="16"/>
        <v>2537</v>
      </c>
      <c r="F81">
        <f t="shared" si="8"/>
        <v>51</v>
      </c>
    </row>
    <row r="82" spans="1:6" x14ac:dyDescent="0.25">
      <c r="A82">
        <v>81</v>
      </c>
      <c r="B82" t="s">
        <v>59</v>
      </c>
      <c r="C82" s="1" t="s">
        <v>44</v>
      </c>
      <c r="D82">
        <v>2458</v>
      </c>
      <c r="E82">
        <f t="shared" si="16"/>
        <v>2489</v>
      </c>
      <c r="F82">
        <f t="shared" si="8"/>
        <v>31</v>
      </c>
    </row>
    <row r="83" spans="1:6" x14ac:dyDescent="0.25">
      <c r="A83">
        <v>82</v>
      </c>
      <c r="B83" t="s">
        <v>109</v>
      </c>
      <c r="C83" s="1" t="s">
        <v>40</v>
      </c>
      <c r="D83">
        <v>2445</v>
      </c>
      <c r="E83">
        <f t="shared" si="16"/>
        <v>2448</v>
      </c>
      <c r="F83">
        <f t="shared" si="8"/>
        <v>3</v>
      </c>
    </row>
    <row r="84" spans="1:6" x14ac:dyDescent="0.25">
      <c r="A84">
        <v>83</v>
      </c>
      <c r="B84" t="s">
        <v>112</v>
      </c>
      <c r="C84" s="1" t="s">
        <v>14</v>
      </c>
      <c r="D84">
        <v>2428</v>
      </c>
      <c r="E84">
        <f t="shared" si="16"/>
        <v>2400</v>
      </c>
      <c r="F84">
        <f t="shared" si="8"/>
        <v>-28</v>
      </c>
    </row>
    <row r="85" spans="1:6" x14ac:dyDescent="0.25">
      <c r="A85">
        <v>84</v>
      </c>
      <c r="B85" t="s">
        <v>64</v>
      </c>
      <c r="C85" s="1" t="s">
        <v>28</v>
      </c>
      <c r="D85">
        <v>2404</v>
      </c>
      <c r="E85">
        <f t="shared" si="16"/>
        <v>2454</v>
      </c>
      <c r="F85">
        <f t="shared" si="8"/>
        <v>50</v>
      </c>
    </row>
    <row r="86" spans="1:6" x14ac:dyDescent="0.25">
      <c r="A86">
        <v>85</v>
      </c>
      <c r="B86" t="s">
        <v>94</v>
      </c>
      <c r="C86" s="1" t="s">
        <v>14</v>
      </c>
      <c r="D86">
        <v>2373</v>
      </c>
      <c r="E86">
        <f t="shared" si="16"/>
        <v>2359</v>
      </c>
      <c r="F86">
        <f t="shared" si="8"/>
        <v>-14</v>
      </c>
    </row>
    <row r="87" spans="1:6" x14ac:dyDescent="0.25">
      <c r="A87">
        <v>86</v>
      </c>
      <c r="B87" t="s">
        <v>70</v>
      </c>
      <c r="C87" s="1" t="s">
        <v>28</v>
      </c>
      <c r="D87">
        <v>2366</v>
      </c>
      <c r="E87">
        <f t="shared" si="16"/>
        <v>2426</v>
      </c>
      <c r="F87">
        <f t="shared" si="8"/>
        <v>60</v>
      </c>
    </row>
    <row r="88" spans="1:6" x14ac:dyDescent="0.25">
      <c r="A88">
        <v>87</v>
      </c>
      <c r="B88" t="s">
        <v>23</v>
      </c>
      <c r="C88" s="1" t="s">
        <v>40</v>
      </c>
      <c r="D88">
        <v>2306</v>
      </c>
      <c r="E88">
        <f t="shared" si="16"/>
        <v>2344</v>
      </c>
      <c r="F88">
        <f t="shared" si="8"/>
        <v>38</v>
      </c>
    </row>
    <row r="89" spans="1:6" x14ac:dyDescent="0.25">
      <c r="A89">
        <v>88</v>
      </c>
      <c r="B89" t="s">
        <v>61</v>
      </c>
      <c r="C89" s="1" t="s">
        <v>44</v>
      </c>
      <c r="D89">
        <v>2259</v>
      </c>
      <c r="E89">
        <f t="shared" si="16"/>
        <v>2339</v>
      </c>
      <c r="F89">
        <f t="shared" si="8"/>
        <v>80</v>
      </c>
    </row>
    <row r="90" spans="1:6" x14ac:dyDescent="0.25">
      <c r="A90">
        <v>89</v>
      </c>
      <c r="B90" t="s">
        <v>54</v>
      </c>
      <c r="C90" s="1" t="s">
        <v>34</v>
      </c>
      <c r="D90">
        <v>2231</v>
      </c>
      <c r="E90">
        <f t="shared" si="16"/>
        <v>2172</v>
      </c>
      <c r="F90">
        <f t="shared" ref="F90:F139" si="17">E90-D90</f>
        <v>-59</v>
      </c>
    </row>
    <row r="91" spans="1:6" x14ac:dyDescent="0.25">
      <c r="A91">
        <v>90</v>
      </c>
      <c r="B91" t="s">
        <v>62</v>
      </c>
      <c r="C91" s="1" t="s">
        <v>14</v>
      </c>
      <c r="D91">
        <v>2214</v>
      </c>
      <c r="E91">
        <f t="shared" si="16"/>
        <v>2239</v>
      </c>
      <c r="F91">
        <f t="shared" si="17"/>
        <v>25</v>
      </c>
    </row>
    <row r="92" spans="1:6" x14ac:dyDescent="0.25">
      <c r="A92">
        <v>91</v>
      </c>
      <c r="B92" t="s">
        <v>77</v>
      </c>
      <c r="C92" s="1" t="s">
        <v>34</v>
      </c>
      <c r="D92">
        <v>2199</v>
      </c>
      <c r="E92">
        <f t="shared" si="16"/>
        <v>2148</v>
      </c>
      <c r="F92">
        <f t="shared" si="17"/>
        <v>-51</v>
      </c>
    </row>
    <row r="93" spans="1:6" x14ac:dyDescent="0.25">
      <c r="A93">
        <v>92</v>
      </c>
      <c r="B93" t="s">
        <v>89</v>
      </c>
      <c r="C93" s="1" t="s">
        <v>40</v>
      </c>
      <c r="D93">
        <v>2182</v>
      </c>
      <c r="E93">
        <f t="shared" si="16"/>
        <v>2251</v>
      </c>
      <c r="F93">
        <f t="shared" si="17"/>
        <v>69</v>
      </c>
    </row>
    <row r="94" spans="1:6" x14ac:dyDescent="0.25">
      <c r="A94">
        <v>93</v>
      </c>
      <c r="B94" t="s">
        <v>129</v>
      </c>
      <c r="C94" s="1" t="s">
        <v>14</v>
      </c>
      <c r="D94">
        <v>2176</v>
      </c>
      <c r="E94">
        <f t="shared" si="16"/>
        <v>2211</v>
      </c>
      <c r="F94">
        <f t="shared" si="17"/>
        <v>35</v>
      </c>
    </row>
    <row r="95" spans="1:6" x14ac:dyDescent="0.25">
      <c r="A95">
        <v>94</v>
      </c>
      <c r="B95" t="s">
        <v>153</v>
      </c>
      <c r="C95" s="1" t="s">
        <v>14</v>
      </c>
      <c r="D95">
        <v>2160</v>
      </c>
      <c r="E95">
        <f t="shared" si="16"/>
        <v>2199</v>
      </c>
      <c r="F95">
        <f t="shared" si="17"/>
        <v>39</v>
      </c>
    </row>
    <row r="96" spans="1:6" x14ac:dyDescent="0.25">
      <c r="A96">
        <v>95</v>
      </c>
      <c r="B96" t="s">
        <v>78</v>
      </c>
      <c r="C96" s="1" t="s">
        <v>11</v>
      </c>
      <c r="D96">
        <v>2050</v>
      </c>
      <c r="E96">
        <f t="shared" si="16"/>
        <v>2005</v>
      </c>
      <c r="F96">
        <f t="shared" si="17"/>
        <v>-45</v>
      </c>
    </row>
    <row r="97" spans="1:6" x14ac:dyDescent="0.25">
      <c r="A97">
        <v>96</v>
      </c>
      <c r="B97" t="s">
        <v>17</v>
      </c>
      <c r="C97" s="1" t="s">
        <v>34</v>
      </c>
      <c r="D97">
        <v>2011</v>
      </c>
      <c r="E97">
        <f t="shared" si="16"/>
        <v>2007</v>
      </c>
      <c r="F97">
        <f t="shared" si="17"/>
        <v>-4</v>
      </c>
    </row>
    <row r="98" spans="1:6" x14ac:dyDescent="0.25">
      <c r="A98">
        <v>97</v>
      </c>
      <c r="B98" t="s">
        <v>118</v>
      </c>
      <c r="C98" s="1" t="s">
        <v>11</v>
      </c>
      <c r="D98">
        <v>1960</v>
      </c>
      <c r="E98">
        <f t="shared" si="16"/>
        <v>1938</v>
      </c>
      <c r="F98">
        <f t="shared" si="17"/>
        <v>-22</v>
      </c>
    </row>
    <row r="99" spans="1:6" x14ac:dyDescent="0.25">
      <c r="A99">
        <v>98</v>
      </c>
      <c r="B99" t="s">
        <v>75</v>
      </c>
      <c r="C99" s="1" t="s">
        <v>34</v>
      </c>
      <c r="D99">
        <v>1927</v>
      </c>
      <c r="E99">
        <f t="shared" si="16"/>
        <v>1944</v>
      </c>
      <c r="F99">
        <f t="shared" si="17"/>
        <v>17</v>
      </c>
    </row>
    <row r="100" spans="1:6" x14ac:dyDescent="0.25">
      <c r="A100">
        <v>99</v>
      </c>
      <c r="B100" t="s">
        <v>56</v>
      </c>
      <c r="C100" s="1" t="s">
        <v>22</v>
      </c>
      <c r="D100">
        <v>1927</v>
      </c>
      <c r="E100">
        <f t="shared" si="16"/>
        <v>1879</v>
      </c>
      <c r="F100">
        <f t="shared" si="17"/>
        <v>-48</v>
      </c>
    </row>
    <row r="101" spans="1:6" x14ac:dyDescent="0.25">
      <c r="A101">
        <v>100</v>
      </c>
      <c r="B101" t="s">
        <v>24</v>
      </c>
      <c r="C101" s="1" t="s">
        <v>11</v>
      </c>
      <c r="D101">
        <v>1926</v>
      </c>
      <c r="E101">
        <f t="shared" si="16"/>
        <v>1912</v>
      </c>
      <c r="F101">
        <f t="shared" si="17"/>
        <v>-14</v>
      </c>
    </row>
    <row r="102" spans="1:6" x14ac:dyDescent="0.25">
      <c r="A102">
        <v>101</v>
      </c>
      <c r="B102" t="s">
        <v>127</v>
      </c>
      <c r="C102" s="1" t="s">
        <v>11</v>
      </c>
      <c r="D102">
        <v>1874</v>
      </c>
      <c r="E102">
        <f t="shared" si="16"/>
        <v>1873</v>
      </c>
      <c r="F102">
        <f t="shared" si="17"/>
        <v>-1</v>
      </c>
    </row>
    <row r="103" spans="1:6" x14ac:dyDescent="0.25">
      <c r="A103">
        <v>102</v>
      </c>
      <c r="B103" t="s">
        <v>69</v>
      </c>
      <c r="C103" s="1" t="s">
        <v>34</v>
      </c>
      <c r="D103">
        <v>1863</v>
      </c>
      <c r="E103">
        <f t="shared" si="16"/>
        <v>1896</v>
      </c>
      <c r="F103">
        <f t="shared" si="17"/>
        <v>33</v>
      </c>
    </row>
    <row r="104" spans="1:6" x14ac:dyDescent="0.25">
      <c r="A104">
        <v>103</v>
      </c>
      <c r="B104" t="s">
        <v>125</v>
      </c>
      <c r="C104" s="1" t="s">
        <v>22</v>
      </c>
      <c r="D104">
        <v>1856</v>
      </c>
      <c r="E104">
        <f t="shared" si="16"/>
        <v>1825</v>
      </c>
      <c r="F104">
        <f t="shared" si="17"/>
        <v>-31</v>
      </c>
    </row>
    <row r="105" spans="1:6" x14ac:dyDescent="0.25">
      <c r="A105">
        <v>104</v>
      </c>
      <c r="B105" t="s">
        <v>108</v>
      </c>
      <c r="C105" s="1" t="s">
        <v>34</v>
      </c>
      <c r="D105">
        <v>1747</v>
      </c>
      <c r="E105">
        <f t="shared" si="16"/>
        <v>1809</v>
      </c>
      <c r="F105">
        <f t="shared" si="17"/>
        <v>62</v>
      </c>
    </row>
    <row r="106" spans="1:6" x14ac:dyDescent="0.25">
      <c r="A106">
        <v>105</v>
      </c>
      <c r="B106" t="s">
        <v>130</v>
      </c>
      <c r="C106" s="1" t="s">
        <v>67</v>
      </c>
      <c r="D106">
        <v>1737</v>
      </c>
      <c r="E106">
        <f t="shared" si="16"/>
        <v>1691</v>
      </c>
      <c r="F106">
        <f t="shared" si="17"/>
        <v>-46</v>
      </c>
    </row>
    <row r="107" spans="1:6" x14ac:dyDescent="0.25">
      <c r="A107">
        <v>106</v>
      </c>
      <c r="B107" t="s">
        <v>128</v>
      </c>
      <c r="C107" s="1" t="s">
        <v>11</v>
      </c>
      <c r="D107">
        <v>1712</v>
      </c>
      <c r="E107">
        <f t="shared" si="16"/>
        <v>1752</v>
      </c>
      <c r="F107">
        <f t="shared" si="17"/>
        <v>40</v>
      </c>
    </row>
    <row r="108" spans="1:6" x14ac:dyDescent="0.25">
      <c r="A108">
        <v>107</v>
      </c>
      <c r="B108" t="s">
        <v>102</v>
      </c>
      <c r="C108" s="1" t="s">
        <v>22</v>
      </c>
      <c r="D108">
        <v>1705</v>
      </c>
      <c r="E108">
        <f t="shared" si="16"/>
        <v>1712</v>
      </c>
      <c r="F108">
        <f t="shared" si="17"/>
        <v>7</v>
      </c>
    </row>
    <row r="109" spans="1:6" x14ac:dyDescent="0.25">
      <c r="A109">
        <v>108</v>
      </c>
      <c r="B109" t="s">
        <v>91</v>
      </c>
      <c r="C109" s="1" t="s">
        <v>11</v>
      </c>
      <c r="D109">
        <v>1700</v>
      </c>
      <c r="E109">
        <f t="shared" si="16"/>
        <v>1743</v>
      </c>
      <c r="F109">
        <f t="shared" si="17"/>
        <v>43</v>
      </c>
    </row>
    <row r="110" spans="1:6" x14ac:dyDescent="0.25">
      <c r="A110">
        <v>109</v>
      </c>
      <c r="B110" t="s">
        <v>138</v>
      </c>
      <c r="C110" s="1" t="s">
        <v>22</v>
      </c>
      <c r="D110">
        <v>1700</v>
      </c>
      <c r="E110">
        <f t="shared" si="16"/>
        <v>1708</v>
      </c>
      <c r="F110">
        <f t="shared" si="17"/>
        <v>8</v>
      </c>
    </row>
    <row r="111" spans="1:6" x14ac:dyDescent="0.25">
      <c r="A111">
        <v>110</v>
      </c>
      <c r="B111" t="s">
        <v>101</v>
      </c>
      <c r="C111" s="1" t="s">
        <v>67</v>
      </c>
      <c r="D111">
        <v>1700</v>
      </c>
      <c r="E111">
        <f t="shared" si="16"/>
        <v>1663</v>
      </c>
      <c r="F111">
        <f t="shared" si="17"/>
        <v>-37</v>
      </c>
    </row>
    <row r="112" spans="1:6" x14ac:dyDescent="0.25">
      <c r="A112">
        <v>111</v>
      </c>
      <c r="B112" t="s">
        <v>19</v>
      </c>
      <c r="C112" s="1" t="s">
        <v>20</v>
      </c>
      <c r="D112">
        <v>1693</v>
      </c>
      <c r="E112">
        <f t="shared" si="16"/>
        <v>1632</v>
      </c>
      <c r="F112">
        <f t="shared" si="17"/>
        <v>-61</v>
      </c>
    </row>
    <row r="113" spans="1:6" x14ac:dyDescent="0.25">
      <c r="A113">
        <v>112</v>
      </c>
      <c r="B113" t="s">
        <v>139</v>
      </c>
      <c r="C113" s="1" t="s">
        <v>22</v>
      </c>
      <c r="D113">
        <v>1621</v>
      </c>
      <c r="E113">
        <f t="shared" si="16"/>
        <v>1649</v>
      </c>
      <c r="F113">
        <f t="shared" si="17"/>
        <v>28</v>
      </c>
    </row>
    <row r="114" spans="1:6" x14ac:dyDescent="0.25">
      <c r="A114">
        <v>113</v>
      </c>
      <c r="B114" t="s">
        <v>21</v>
      </c>
      <c r="C114" s="1" t="s">
        <v>22</v>
      </c>
      <c r="D114">
        <v>1588</v>
      </c>
      <c r="E114">
        <f t="shared" si="16"/>
        <v>1624</v>
      </c>
      <c r="F114">
        <f t="shared" si="17"/>
        <v>36</v>
      </c>
    </row>
    <row r="115" spans="1:6" x14ac:dyDescent="0.25">
      <c r="A115">
        <v>114</v>
      </c>
      <c r="B115" t="s">
        <v>123</v>
      </c>
      <c r="C115" s="1" t="s">
        <v>67</v>
      </c>
      <c r="D115">
        <v>1580</v>
      </c>
      <c r="E115">
        <f t="shared" si="16"/>
        <v>1573</v>
      </c>
      <c r="F115">
        <f t="shared" si="17"/>
        <v>-7</v>
      </c>
    </row>
    <row r="116" spans="1:6" x14ac:dyDescent="0.25">
      <c r="A116">
        <v>115</v>
      </c>
      <c r="B116" t="s">
        <v>149</v>
      </c>
      <c r="C116" s="1" t="s">
        <v>67</v>
      </c>
      <c r="D116">
        <v>1565</v>
      </c>
      <c r="E116">
        <f t="shared" si="16"/>
        <v>1562</v>
      </c>
      <c r="F116">
        <f t="shared" si="17"/>
        <v>-3</v>
      </c>
    </row>
    <row r="117" spans="1:6" x14ac:dyDescent="0.25">
      <c r="A117">
        <v>116</v>
      </c>
      <c r="B117" t="s">
        <v>60</v>
      </c>
      <c r="C117" s="1" t="s">
        <v>16</v>
      </c>
      <c r="D117">
        <v>1519</v>
      </c>
      <c r="E117">
        <f t="shared" si="16"/>
        <v>1454</v>
      </c>
      <c r="F117">
        <f t="shared" si="17"/>
        <v>-65</v>
      </c>
    </row>
    <row r="118" spans="1:6" x14ac:dyDescent="0.25">
      <c r="A118">
        <v>117</v>
      </c>
      <c r="B118" t="s">
        <v>66</v>
      </c>
      <c r="C118" s="1" t="s">
        <v>67</v>
      </c>
      <c r="D118">
        <v>1477</v>
      </c>
      <c r="E118">
        <f t="shared" si="16"/>
        <v>1496</v>
      </c>
      <c r="F118">
        <f t="shared" si="17"/>
        <v>19</v>
      </c>
    </row>
    <row r="119" spans="1:6" x14ac:dyDescent="0.25">
      <c r="A119">
        <v>118</v>
      </c>
      <c r="B119" t="s">
        <v>98</v>
      </c>
      <c r="C119" s="1" t="s">
        <v>20</v>
      </c>
      <c r="D119">
        <v>1449</v>
      </c>
      <c r="E119">
        <f t="shared" si="16"/>
        <v>1449</v>
      </c>
      <c r="F119">
        <f t="shared" si="17"/>
        <v>0</v>
      </c>
    </row>
    <row r="120" spans="1:6" x14ac:dyDescent="0.25">
      <c r="A120">
        <v>119</v>
      </c>
      <c r="B120" t="s">
        <v>83</v>
      </c>
      <c r="C120" s="1" t="s">
        <v>20</v>
      </c>
      <c r="D120">
        <v>1442</v>
      </c>
      <c r="E120">
        <f t="shared" si="16"/>
        <v>1443</v>
      </c>
      <c r="F120">
        <f t="shared" si="17"/>
        <v>1</v>
      </c>
    </row>
    <row r="121" spans="1:6" x14ac:dyDescent="0.25">
      <c r="A121">
        <v>120</v>
      </c>
      <c r="B121" t="s">
        <v>51</v>
      </c>
      <c r="C121" s="1" t="s">
        <v>20</v>
      </c>
      <c r="D121">
        <v>1405</v>
      </c>
      <c r="E121">
        <f t="shared" si="16"/>
        <v>1416</v>
      </c>
      <c r="F121">
        <f t="shared" si="17"/>
        <v>11</v>
      </c>
    </row>
    <row r="122" spans="1:6" x14ac:dyDescent="0.25">
      <c r="A122">
        <v>121</v>
      </c>
      <c r="B122" t="s">
        <v>158</v>
      </c>
      <c r="C122" s="1" t="s">
        <v>20</v>
      </c>
      <c r="D122">
        <v>1348</v>
      </c>
      <c r="E122">
        <f t="shared" si="16"/>
        <v>1373</v>
      </c>
      <c r="F122">
        <f t="shared" si="17"/>
        <v>25</v>
      </c>
    </row>
    <row r="123" spans="1:6" x14ac:dyDescent="0.25">
      <c r="A123">
        <v>122</v>
      </c>
      <c r="B123" t="s">
        <v>73</v>
      </c>
      <c r="C123" s="1" t="s">
        <v>20</v>
      </c>
      <c r="D123">
        <v>1344</v>
      </c>
      <c r="E123">
        <f t="shared" si="16"/>
        <v>1370</v>
      </c>
      <c r="F123">
        <f t="shared" si="17"/>
        <v>26</v>
      </c>
    </row>
    <row r="124" spans="1:6" x14ac:dyDescent="0.25">
      <c r="A124">
        <v>123</v>
      </c>
      <c r="B124" t="s">
        <v>111</v>
      </c>
      <c r="C124" s="1" t="s">
        <v>16</v>
      </c>
      <c r="D124">
        <v>1310</v>
      </c>
      <c r="E124">
        <f t="shared" si="16"/>
        <v>1297</v>
      </c>
      <c r="F124">
        <f t="shared" si="17"/>
        <v>-13</v>
      </c>
    </row>
    <row r="125" spans="1:6" x14ac:dyDescent="0.25">
      <c r="A125">
        <v>124</v>
      </c>
      <c r="B125" t="s">
        <v>115</v>
      </c>
      <c r="C125" s="1" t="s">
        <v>16</v>
      </c>
      <c r="D125">
        <v>1296</v>
      </c>
      <c r="E125">
        <f t="shared" si="16"/>
        <v>1286</v>
      </c>
      <c r="F125">
        <f t="shared" si="17"/>
        <v>-10</v>
      </c>
    </row>
    <row r="126" spans="1:6" x14ac:dyDescent="0.25">
      <c r="A126">
        <v>125</v>
      </c>
      <c r="B126" t="s">
        <v>106</v>
      </c>
      <c r="C126" s="1" t="s">
        <v>67</v>
      </c>
      <c r="D126">
        <v>1254</v>
      </c>
      <c r="E126">
        <f t="shared" si="16"/>
        <v>1329</v>
      </c>
      <c r="F126">
        <f t="shared" si="17"/>
        <v>75</v>
      </c>
    </row>
    <row r="127" spans="1:6" x14ac:dyDescent="0.25">
      <c r="A127">
        <v>126</v>
      </c>
      <c r="B127" t="s">
        <v>137</v>
      </c>
      <c r="C127" s="1" t="s">
        <v>16</v>
      </c>
      <c r="D127">
        <v>1229</v>
      </c>
      <c r="E127">
        <f t="shared" si="16"/>
        <v>1236</v>
      </c>
      <c r="F127">
        <f t="shared" si="17"/>
        <v>7</v>
      </c>
    </row>
    <row r="128" spans="1:6" x14ac:dyDescent="0.25">
      <c r="A128">
        <v>127</v>
      </c>
      <c r="B128" t="s">
        <v>154</v>
      </c>
      <c r="C128" s="1" t="s">
        <v>16</v>
      </c>
      <c r="D128">
        <v>1210</v>
      </c>
      <c r="E128">
        <f t="shared" si="16"/>
        <v>1222</v>
      </c>
      <c r="F128">
        <f t="shared" si="17"/>
        <v>12</v>
      </c>
    </row>
    <row r="129" spans="1:6" x14ac:dyDescent="0.25">
      <c r="A129">
        <v>128</v>
      </c>
      <c r="B129" t="s">
        <v>141</v>
      </c>
      <c r="C129" s="1" t="s">
        <v>104</v>
      </c>
      <c r="D129">
        <v>1171</v>
      </c>
      <c r="E129">
        <f t="shared" si="16"/>
        <v>1136</v>
      </c>
      <c r="F129">
        <f t="shared" si="17"/>
        <v>-35</v>
      </c>
    </row>
    <row r="130" spans="1:6" x14ac:dyDescent="0.25">
      <c r="A130">
        <v>129</v>
      </c>
      <c r="B130" t="s">
        <v>140</v>
      </c>
      <c r="C130" s="1" t="s">
        <v>104</v>
      </c>
      <c r="D130">
        <v>1018</v>
      </c>
      <c r="E130">
        <f t="shared" si="16"/>
        <v>1021</v>
      </c>
      <c r="F130">
        <f t="shared" si="17"/>
        <v>3</v>
      </c>
    </row>
    <row r="131" spans="1:6" x14ac:dyDescent="0.25">
      <c r="A131">
        <v>130</v>
      </c>
      <c r="B131" t="s">
        <v>68</v>
      </c>
      <c r="C131" s="1" t="s">
        <v>10</v>
      </c>
      <c r="D131">
        <v>1001</v>
      </c>
      <c r="E131">
        <f t="shared" ref="E131:E139" si="18">ROUND(D131+$K$2*(_xlfn.XLOOKUP(C131,H:H,I:I)-D131),0)</f>
        <v>989</v>
      </c>
      <c r="F131">
        <f t="shared" si="17"/>
        <v>-12</v>
      </c>
    </row>
    <row r="132" spans="1:6" x14ac:dyDescent="0.25">
      <c r="A132">
        <v>131</v>
      </c>
      <c r="B132" t="s">
        <v>9</v>
      </c>
      <c r="C132" s="1" t="s">
        <v>10</v>
      </c>
      <c r="D132">
        <v>1000</v>
      </c>
      <c r="E132">
        <f t="shared" si="18"/>
        <v>989</v>
      </c>
      <c r="F132">
        <f t="shared" si="17"/>
        <v>-11</v>
      </c>
    </row>
    <row r="133" spans="1:6" x14ac:dyDescent="0.25">
      <c r="A133">
        <v>132</v>
      </c>
      <c r="B133" t="s">
        <v>45</v>
      </c>
      <c r="C133" s="1" t="s">
        <v>10</v>
      </c>
      <c r="D133">
        <v>1000</v>
      </c>
      <c r="E133">
        <f t="shared" si="18"/>
        <v>989</v>
      </c>
      <c r="F133">
        <f t="shared" si="17"/>
        <v>-11</v>
      </c>
    </row>
    <row r="134" spans="1:6" x14ac:dyDescent="0.25">
      <c r="A134">
        <v>133</v>
      </c>
      <c r="B134" t="s">
        <v>161</v>
      </c>
      <c r="C134" s="1" t="s">
        <v>104</v>
      </c>
      <c r="D134">
        <v>1000</v>
      </c>
      <c r="E134">
        <f t="shared" si="18"/>
        <v>1008</v>
      </c>
      <c r="F134">
        <f t="shared" si="17"/>
        <v>8</v>
      </c>
    </row>
    <row r="135" spans="1:6" x14ac:dyDescent="0.25">
      <c r="A135">
        <v>134</v>
      </c>
      <c r="B135" t="s">
        <v>162</v>
      </c>
      <c r="C135" s="1" t="s">
        <v>104</v>
      </c>
      <c r="D135">
        <v>1000</v>
      </c>
      <c r="E135">
        <f t="shared" si="18"/>
        <v>1008</v>
      </c>
      <c r="F135">
        <f t="shared" si="17"/>
        <v>8</v>
      </c>
    </row>
    <row r="136" spans="1:6" x14ac:dyDescent="0.25">
      <c r="A136">
        <v>135</v>
      </c>
      <c r="B136" t="s">
        <v>160</v>
      </c>
      <c r="C136" s="1" t="s">
        <v>104</v>
      </c>
      <c r="D136">
        <v>1000</v>
      </c>
      <c r="E136">
        <f t="shared" si="18"/>
        <v>1008</v>
      </c>
      <c r="F136">
        <f t="shared" si="17"/>
        <v>8</v>
      </c>
    </row>
    <row r="137" spans="1:6" x14ac:dyDescent="0.25">
      <c r="A137">
        <v>136</v>
      </c>
      <c r="B137" t="s">
        <v>142</v>
      </c>
      <c r="C137" s="1" t="s">
        <v>104</v>
      </c>
      <c r="D137">
        <v>988</v>
      </c>
      <c r="E137">
        <f t="shared" si="18"/>
        <v>999</v>
      </c>
      <c r="F137">
        <f t="shared" si="17"/>
        <v>11</v>
      </c>
    </row>
    <row r="138" spans="1:6" x14ac:dyDescent="0.25">
      <c r="A138">
        <v>137</v>
      </c>
      <c r="B138" t="s">
        <v>105</v>
      </c>
      <c r="C138" s="1" t="s">
        <v>16</v>
      </c>
      <c r="D138">
        <v>976</v>
      </c>
      <c r="E138">
        <f t="shared" si="18"/>
        <v>1046</v>
      </c>
      <c r="F138">
        <f t="shared" si="17"/>
        <v>70</v>
      </c>
    </row>
    <row r="139" spans="1:6" x14ac:dyDescent="0.25">
      <c r="A139">
        <v>138</v>
      </c>
      <c r="B139" t="s">
        <v>15</v>
      </c>
      <c r="C139" s="1" t="s">
        <v>10</v>
      </c>
      <c r="D139">
        <v>814</v>
      </c>
      <c r="E139">
        <f t="shared" si="18"/>
        <v>849</v>
      </c>
      <c r="F139">
        <f t="shared" si="17"/>
        <v>35</v>
      </c>
    </row>
  </sheetData>
  <sortState xmlns:xlrd2="http://schemas.microsoft.com/office/spreadsheetml/2017/richdata2" ref="A2:D139">
    <sortCondition descending="1" ref="D2:D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initial_26_Summer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Weimann, Daniel</cp:lastModifiedBy>
  <dcterms:created xsi:type="dcterms:W3CDTF">2026-09-29T21:19:59Z</dcterms:created>
  <dcterms:modified xsi:type="dcterms:W3CDTF">2026-09-29T21:40:44Z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2026-09-29T21:30:03Z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d6b79daf-b7d1-48a9-adda-940eeafa97a9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